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niBrainNew Erp\Erp\"/>
    </mc:Choice>
  </mc:AlternateContent>
  <xr:revisionPtr revIDLastSave="0" documentId="13_ncr:1_{8D0D8540-6C49-4434-A15F-3DD430B7222A}" xr6:coauthVersionLast="47" xr6:coauthVersionMax="47" xr10:uidLastSave="{00000000-0000-0000-0000-000000000000}"/>
  <bookViews>
    <workbookView xWindow="12000" yWindow="0" windowWidth="12000" windowHeight="1305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63" i="2" l="1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B463" i="2"/>
  <c r="AD459" i="2"/>
  <c r="G459" i="2"/>
  <c r="C459" i="2"/>
  <c r="C463" i="2" s="1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B453" i="2"/>
  <c r="L450" i="2"/>
  <c r="G449" i="2"/>
  <c r="C449" i="2"/>
  <c r="C453" i="2" s="1"/>
  <c r="AO443" i="2"/>
  <c r="AN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F443" i="2"/>
  <c r="E443" i="2"/>
  <c r="D443" i="2"/>
  <c r="C443" i="2"/>
  <c r="B443" i="2"/>
  <c r="AM440" i="2"/>
  <c r="AM443" i="2" s="1"/>
  <c r="C440" i="2"/>
  <c r="AD439" i="2"/>
  <c r="U439" i="2"/>
  <c r="G439" i="2"/>
  <c r="G443" i="2" s="1"/>
  <c r="C439" i="2"/>
  <c r="AO433" i="2"/>
  <c r="AN433" i="2"/>
  <c r="AM433" i="2"/>
  <c r="AL433" i="2"/>
  <c r="AK433" i="2"/>
  <c r="AJ433" i="2"/>
  <c r="AI433" i="2"/>
  <c r="AH433" i="2"/>
  <c r="AG433" i="2"/>
  <c r="AF433" i="2"/>
  <c r="AE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F433" i="2"/>
  <c r="E433" i="2"/>
  <c r="D433" i="2"/>
  <c r="C433" i="2"/>
  <c r="B433" i="2"/>
  <c r="B430" i="2"/>
  <c r="AD429" i="2"/>
  <c r="AD433" i="2" s="1"/>
  <c r="G429" i="2"/>
  <c r="G433" i="2" s="1"/>
  <c r="C429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U419" i="2"/>
  <c r="U423" i="2" s="1"/>
  <c r="G419" i="2"/>
  <c r="AO413" i="2"/>
  <c r="AN413" i="2"/>
  <c r="AM413" i="2"/>
  <c r="AL413" i="2"/>
  <c r="AK413" i="2"/>
  <c r="AJ413" i="2"/>
  <c r="AI413" i="2"/>
  <c r="AH413" i="2"/>
  <c r="AG413" i="2"/>
  <c r="AF413" i="2"/>
  <c r="AE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F413" i="2"/>
  <c r="E413" i="2"/>
  <c r="D413" i="2"/>
  <c r="B413" i="2"/>
  <c r="AD410" i="2"/>
  <c r="AD409" i="2"/>
  <c r="U409" i="2"/>
  <c r="G409" i="2"/>
  <c r="G413" i="2" s="1"/>
  <c r="C409" i="2"/>
  <c r="C413" i="2" s="1"/>
  <c r="AO403" i="2"/>
  <c r="AN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F403" i="2"/>
  <c r="E403" i="2"/>
  <c r="D403" i="2"/>
  <c r="B403" i="2"/>
  <c r="AM399" i="2"/>
  <c r="AM403" i="2" s="1"/>
  <c r="AD399" i="2"/>
  <c r="G399" i="2"/>
  <c r="G403" i="2" s="1"/>
  <c r="C399" i="2"/>
  <c r="C403" i="2" s="1"/>
  <c r="B399" i="2"/>
  <c r="AO393" i="2"/>
  <c r="AN393" i="2"/>
  <c r="AM393" i="2"/>
  <c r="AL393" i="2"/>
  <c r="AK393" i="2"/>
  <c r="AJ393" i="2"/>
  <c r="AI393" i="2"/>
  <c r="AH393" i="2"/>
  <c r="AG393" i="2"/>
  <c r="AF393" i="2"/>
  <c r="AE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N390" i="2"/>
  <c r="AD390" i="2"/>
  <c r="AD389" i="2"/>
  <c r="AD393" i="2" s="1"/>
  <c r="G389" i="2"/>
  <c r="C389" i="2"/>
  <c r="AO383" i="2"/>
  <c r="AN383" i="2"/>
  <c r="AM383" i="2"/>
  <c r="AL383" i="2"/>
  <c r="AK383" i="2"/>
  <c r="AJ383" i="2"/>
  <c r="AI383" i="2"/>
  <c r="AH383" i="2"/>
  <c r="AG383" i="2"/>
  <c r="AF383" i="2"/>
  <c r="AE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AD380" i="2"/>
  <c r="AD379" i="2"/>
  <c r="AD383" i="2" s="1"/>
  <c r="C379" i="2"/>
  <c r="C383" i="2" s="1"/>
  <c r="B379" i="2"/>
  <c r="B383" i="2" s="1"/>
  <c r="AO373" i="2"/>
  <c r="AN373" i="2"/>
  <c r="AM373" i="2"/>
  <c r="AL373" i="2"/>
  <c r="AK373" i="2"/>
  <c r="AJ373" i="2"/>
  <c r="AI373" i="2"/>
  <c r="AH373" i="2"/>
  <c r="AG373" i="2"/>
  <c r="AF373" i="2"/>
  <c r="AE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I373" i="2"/>
  <c r="H373" i="2"/>
  <c r="F373" i="2"/>
  <c r="E373" i="2"/>
  <c r="D373" i="2"/>
  <c r="C373" i="2"/>
  <c r="B373" i="2"/>
  <c r="AD369" i="2"/>
  <c r="AD373" i="2" s="1"/>
  <c r="J369" i="2"/>
  <c r="J373" i="2" s="1"/>
  <c r="G369" i="2"/>
  <c r="G373" i="2" s="1"/>
  <c r="C369" i="2"/>
  <c r="AO363" i="2"/>
  <c r="AN363" i="2"/>
  <c r="AM363" i="2"/>
  <c r="AL363" i="2"/>
  <c r="AK363" i="2"/>
  <c r="AJ363" i="2"/>
  <c r="AI363" i="2"/>
  <c r="AH363" i="2"/>
  <c r="AG363" i="2"/>
  <c r="AF363" i="2"/>
  <c r="AE363" i="2"/>
  <c r="AC363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E363" i="2"/>
  <c r="D363" i="2"/>
  <c r="C363" i="2"/>
  <c r="B363" i="2"/>
  <c r="AD359" i="2"/>
  <c r="AD363" i="2" s="1"/>
  <c r="G359" i="2"/>
  <c r="G363" i="2" s="1"/>
  <c r="F359" i="2"/>
  <c r="F363" i="2" s="1"/>
  <c r="C359" i="2"/>
  <c r="AO353" i="2"/>
  <c r="AN353" i="2"/>
  <c r="AM353" i="2"/>
  <c r="AL353" i="2"/>
  <c r="AK353" i="2"/>
  <c r="AJ353" i="2"/>
  <c r="AI353" i="2"/>
  <c r="AH353" i="2"/>
  <c r="AG353" i="2"/>
  <c r="AF353" i="2"/>
  <c r="AE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F353" i="2"/>
  <c r="E353" i="2"/>
  <c r="D353" i="2"/>
  <c r="C353" i="2"/>
  <c r="B350" i="2"/>
  <c r="B353" i="2" s="1"/>
  <c r="AD349" i="2"/>
  <c r="AD353" i="2" s="1"/>
  <c r="G349" i="2"/>
  <c r="G353" i="2" s="1"/>
  <c r="C349" i="2"/>
  <c r="AO343" i="2"/>
  <c r="AN343" i="2"/>
  <c r="AM343" i="2"/>
  <c r="AL343" i="2"/>
  <c r="AK343" i="2"/>
  <c r="AJ343" i="2"/>
  <c r="AI343" i="2"/>
  <c r="AH343" i="2"/>
  <c r="AG343" i="2"/>
  <c r="AF343" i="2"/>
  <c r="AE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F343" i="2"/>
  <c r="E343" i="2"/>
  <c r="D343" i="2"/>
  <c r="B343" i="2"/>
  <c r="AN342" i="2"/>
  <c r="G342" i="2"/>
  <c r="AN341" i="2"/>
  <c r="AN340" i="2"/>
  <c r="AD339" i="2"/>
  <c r="AD343" i="2" s="1"/>
  <c r="G339" i="2"/>
  <c r="G343" i="2" s="1"/>
  <c r="C339" i="2"/>
  <c r="C343" i="2" s="1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B333" i="2"/>
  <c r="AD329" i="2"/>
  <c r="G329" i="2"/>
  <c r="C329" i="2"/>
  <c r="C333" i="2" s="1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F323" i="2"/>
  <c r="E323" i="2"/>
  <c r="D323" i="2"/>
  <c r="B323" i="2"/>
  <c r="AN322" i="2"/>
  <c r="B322" i="2"/>
  <c r="AN321" i="2"/>
  <c r="AN323" i="2" s="1"/>
  <c r="AO320" i="2"/>
  <c r="AO323" i="2" s="1"/>
  <c r="G320" i="2"/>
  <c r="AD319" i="2"/>
  <c r="U319" i="2"/>
  <c r="G319" i="2"/>
  <c r="G323" i="2" s="1"/>
  <c r="C319" i="2"/>
  <c r="C323" i="2" s="1"/>
  <c r="AO313" i="2"/>
  <c r="AN313" i="2"/>
  <c r="AM313" i="2"/>
  <c r="AL313" i="2"/>
  <c r="AK313" i="2"/>
  <c r="AJ313" i="2"/>
  <c r="AI313" i="2"/>
  <c r="AH313" i="2"/>
  <c r="AG313" i="2"/>
  <c r="AF313" i="2"/>
  <c r="AE313" i="2"/>
  <c r="AC313" i="2"/>
  <c r="AB313" i="2"/>
  <c r="AA313" i="2"/>
  <c r="Z313" i="2"/>
  <c r="Y313" i="2"/>
  <c r="X313" i="2"/>
  <c r="W313" i="2"/>
  <c r="V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N312" i="2"/>
  <c r="AD310" i="2"/>
  <c r="AD309" i="2"/>
  <c r="AD313" i="2" s="1"/>
  <c r="U309" i="2"/>
  <c r="U313" i="2" s="1"/>
  <c r="G309" i="2"/>
  <c r="C309" i="2"/>
  <c r="AO303" i="2"/>
  <c r="AN303" i="2"/>
  <c r="AM303" i="2"/>
  <c r="AL303" i="2"/>
  <c r="AK303" i="2"/>
  <c r="AJ303" i="2"/>
  <c r="AI303" i="2"/>
  <c r="AH303" i="2"/>
  <c r="AG303" i="2"/>
  <c r="AF303" i="2"/>
  <c r="AE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F303" i="2"/>
  <c r="E303" i="2"/>
  <c r="D303" i="2"/>
  <c r="B303" i="2"/>
  <c r="AD299" i="2"/>
  <c r="AD303" i="2" s="1"/>
  <c r="G299" i="2"/>
  <c r="G303" i="2" s="1"/>
  <c r="C299" i="2"/>
  <c r="C303" i="2" s="1"/>
  <c r="AO293" i="2"/>
  <c r="AN293" i="2"/>
  <c r="AM293" i="2"/>
  <c r="AL293" i="2"/>
  <c r="AK293" i="2"/>
  <c r="AJ293" i="2"/>
  <c r="AI293" i="2"/>
  <c r="AH293" i="2"/>
  <c r="AG293" i="2"/>
  <c r="AF293" i="2"/>
  <c r="AE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F293" i="2"/>
  <c r="E293" i="2"/>
  <c r="D293" i="2"/>
  <c r="B293" i="2"/>
  <c r="AD289" i="2"/>
  <c r="AD293" i="2" s="1"/>
  <c r="G289" i="2"/>
  <c r="G293" i="2" s="1"/>
  <c r="C289" i="2"/>
  <c r="C293" i="2" s="1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F283" i="2"/>
  <c r="E283" i="2"/>
  <c r="D283" i="2"/>
  <c r="B283" i="2"/>
  <c r="AN279" i="2"/>
  <c r="AD279" i="2"/>
  <c r="G279" i="2"/>
  <c r="G283" i="2" s="1"/>
  <c r="C279" i="2"/>
  <c r="C283" i="2" s="1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F273" i="2"/>
  <c r="E273" i="2"/>
  <c r="D273" i="2"/>
  <c r="C273" i="2"/>
  <c r="B273" i="2"/>
  <c r="AO272" i="2"/>
  <c r="AO273" i="2" s="1"/>
  <c r="C270" i="2"/>
  <c r="AD269" i="2"/>
  <c r="G269" i="2"/>
  <c r="G273" i="2" s="1"/>
  <c r="C269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G259" i="2"/>
  <c r="C259" i="2"/>
  <c r="AO253" i="2"/>
  <c r="AN253" i="2"/>
  <c r="AM253" i="2"/>
  <c r="AL253" i="2"/>
  <c r="AK253" i="2"/>
  <c r="AJ253" i="2"/>
  <c r="AI253" i="2"/>
  <c r="AH253" i="2"/>
  <c r="AG253" i="2"/>
  <c r="AF253" i="2"/>
  <c r="AE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B253" i="2"/>
  <c r="AD249" i="2"/>
  <c r="AD253" i="2" s="1"/>
  <c r="G249" i="2"/>
  <c r="C249" i="2"/>
  <c r="C253" i="2" s="1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O233" i="2"/>
  <c r="AN233" i="2"/>
  <c r="AM233" i="2"/>
  <c r="AL233" i="2"/>
  <c r="AK233" i="2"/>
  <c r="AJ233" i="2"/>
  <c r="AI233" i="2"/>
  <c r="AH233" i="2"/>
  <c r="AG233" i="2"/>
  <c r="AF233" i="2"/>
  <c r="AE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F233" i="2"/>
  <c r="E233" i="2"/>
  <c r="D233" i="2"/>
  <c r="B233" i="2"/>
  <c r="AD229" i="2"/>
  <c r="AD233" i="2" s="1"/>
  <c r="G229" i="2"/>
  <c r="G233" i="2" s="1"/>
  <c r="C229" i="2"/>
  <c r="C233" i="2" s="1"/>
  <c r="AO223" i="2"/>
  <c r="AN223" i="2"/>
  <c r="AM223" i="2"/>
  <c r="AL223" i="2"/>
  <c r="AK223" i="2"/>
  <c r="AJ223" i="2"/>
  <c r="AI223" i="2"/>
  <c r="AH223" i="2"/>
  <c r="AG223" i="2"/>
  <c r="AF223" i="2"/>
  <c r="AE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F223" i="2"/>
  <c r="E223" i="2"/>
  <c r="D223" i="2"/>
  <c r="C223" i="2"/>
  <c r="AD219" i="2"/>
  <c r="AD223" i="2" s="1"/>
  <c r="G219" i="2"/>
  <c r="G223" i="2" s="1"/>
  <c r="C219" i="2"/>
  <c r="B219" i="2"/>
  <c r="B223" i="2" s="1"/>
  <c r="AO213" i="2"/>
  <c r="AN213" i="2"/>
  <c r="AM213" i="2"/>
  <c r="AL213" i="2"/>
  <c r="AK213" i="2"/>
  <c r="AJ213" i="2"/>
  <c r="AI213" i="2"/>
  <c r="AH213" i="2"/>
  <c r="AG213" i="2"/>
  <c r="AF213" i="2"/>
  <c r="AE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D213" i="2"/>
  <c r="C213" i="2"/>
  <c r="AD209" i="2"/>
  <c r="AD213" i="2" s="1"/>
  <c r="E209" i="2"/>
  <c r="E213" i="2" s="1"/>
  <c r="C209" i="2"/>
  <c r="B209" i="2"/>
  <c r="B213" i="2" s="1"/>
  <c r="AO203" i="2"/>
  <c r="AM203" i="2"/>
  <c r="AL203" i="2"/>
  <c r="AK203" i="2"/>
  <c r="AJ203" i="2"/>
  <c r="AI203" i="2"/>
  <c r="AH203" i="2"/>
  <c r="AG203" i="2"/>
  <c r="AF203" i="2"/>
  <c r="AE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D203" i="2"/>
  <c r="C203" i="2"/>
  <c r="B203" i="2"/>
  <c r="AN202" i="2"/>
  <c r="AN201" i="2"/>
  <c r="AN200" i="2"/>
  <c r="AN203" i="2" s="1"/>
  <c r="AD199" i="2"/>
  <c r="AD203" i="2" s="1"/>
  <c r="E199" i="2"/>
  <c r="E203" i="2" s="1"/>
  <c r="C199" i="2"/>
  <c r="AO193" i="2"/>
  <c r="AN193" i="2"/>
  <c r="AM193" i="2"/>
  <c r="AL193" i="2"/>
  <c r="AK193" i="2"/>
  <c r="AJ193" i="2"/>
  <c r="AI193" i="2"/>
  <c r="AH193" i="2"/>
  <c r="AG193" i="2"/>
  <c r="AF193" i="2"/>
  <c r="AE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D193" i="2"/>
  <c r="C193" i="2"/>
  <c r="B193" i="2"/>
  <c r="E192" i="2"/>
  <c r="C192" i="2"/>
  <c r="AO191" i="2"/>
  <c r="AD190" i="2"/>
  <c r="AD193" i="2" s="1"/>
  <c r="E190" i="2"/>
  <c r="E193" i="2" s="1"/>
  <c r="C190" i="2"/>
  <c r="AO184" i="2"/>
  <c r="AN184" i="2"/>
  <c r="AM184" i="2"/>
  <c r="AL184" i="2"/>
  <c r="AK184" i="2"/>
  <c r="AJ184" i="2"/>
  <c r="AI184" i="2"/>
  <c r="AH184" i="2"/>
  <c r="AG184" i="2"/>
  <c r="AF184" i="2"/>
  <c r="AE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D184" i="2"/>
  <c r="C184" i="2"/>
  <c r="B184" i="2"/>
  <c r="AN183" i="2"/>
  <c r="AD181" i="2"/>
  <c r="AD184" i="2" s="1"/>
  <c r="E181" i="2"/>
  <c r="E184" i="2" s="1"/>
  <c r="C181" i="2"/>
  <c r="AO175" i="2"/>
  <c r="AN175" i="2"/>
  <c r="AM175" i="2"/>
  <c r="AL175" i="2"/>
  <c r="AK175" i="2"/>
  <c r="AJ175" i="2"/>
  <c r="AI175" i="2"/>
  <c r="AH175" i="2"/>
  <c r="AG175" i="2"/>
  <c r="AF175" i="2"/>
  <c r="AE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B175" i="2"/>
  <c r="AD172" i="2"/>
  <c r="AD175" i="2" s="1"/>
  <c r="C172" i="2"/>
  <c r="C175" i="2" s="1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K166" i="2"/>
  <c r="J166" i="2"/>
  <c r="I166" i="2"/>
  <c r="H166" i="2"/>
  <c r="G166" i="2"/>
  <c r="F166" i="2"/>
  <c r="E166" i="2"/>
  <c r="D166" i="2"/>
  <c r="B166" i="2"/>
  <c r="AO165" i="2"/>
  <c r="AO166" i="2" s="1"/>
  <c r="L164" i="2"/>
  <c r="L166" i="2" s="1"/>
  <c r="AD163" i="2"/>
  <c r="E163" i="2"/>
  <c r="C163" i="2"/>
  <c r="C166" i="2" s="1"/>
  <c r="B163" i="2"/>
  <c r="AO157" i="2"/>
  <c r="AN157" i="2"/>
  <c r="AM157" i="2"/>
  <c r="AL157" i="2"/>
  <c r="AK157" i="2"/>
  <c r="AJ157" i="2"/>
  <c r="AI157" i="2"/>
  <c r="AH157" i="2"/>
  <c r="AG157" i="2"/>
  <c r="AF157" i="2"/>
  <c r="AE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AD154" i="2"/>
  <c r="AD157" i="2" s="1"/>
  <c r="B154" i="2"/>
  <c r="B157" i="2" s="1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D148" i="2"/>
  <c r="C148" i="2"/>
  <c r="B148" i="2"/>
  <c r="E145" i="2"/>
  <c r="E148" i="2" s="1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D120" i="2"/>
  <c r="C120" i="2"/>
  <c r="B120" i="2"/>
  <c r="E116" i="2"/>
  <c r="E120" i="2" s="1"/>
  <c r="AO110" i="2"/>
  <c r="AN110" i="2"/>
  <c r="AM110" i="2"/>
  <c r="AL110" i="2"/>
  <c r="AK110" i="2"/>
  <c r="AJ110" i="2"/>
  <c r="AI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B110" i="2"/>
  <c r="C108" i="2"/>
  <c r="P107" i="2"/>
  <c r="P110" i="2" s="1"/>
  <c r="C107" i="2"/>
  <c r="C110" i="2" s="1"/>
  <c r="AI106" i="2"/>
  <c r="AH106" i="2"/>
  <c r="AH110" i="2" s="1"/>
  <c r="C106" i="2"/>
  <c r="AO100" i="2"/>
  <c r="AN100" i="2"/>
  <c r="AM100" i="2"/>
  <c r="AL100" i="2"/>
  <c r="AK100" i="2"/>
  <c r="AJ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P99" i="2"/>
  <c r="P98" i="2"/>
  <c r="P97" i="2"/>
  <c r="AI96" i="2"/>
  <c r="AI100" i="2" s="1"/>
  <c r="AH96" i="2"/>
  <c r="AH100" i="2" s="1"/>
  <c r="C96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O90" i="2"/>
  <c r="N90" i="2"/>
  <c r="M90" i="2"/>
  <c r="L90" i="2"/>
  <c r="K90" i="2"/>
  <c r="J90" i="2"/>
  <c r="I90" i="2"/>
  <c r="H90" i="2"/>
  <c r="G90" i="2"/>
  <c r="F90" i="2"/>
  <c r="E90" i="2"/>
  <c r="D90" i="2"/>
  <c r="B90" i="2"/>
  <c r="AM87" i="2"/>
  <c r="P87" i="2"/>
  <c r="P90" i="2" s="1"/>
  <c r="C86" i="2"/>
  <c r="C90" i="2" s="1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B80" i="2"/>
  <c r="E76" i="2"/>
  <c r="E80" i="2" s="1"/>
  <c r="D76" i="2"/>
  <c r="D80" i="2" s="1"/>
  <c r="C76" i="2"/>
  <c r="C80" i="2" s="1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O43" i="2"/>
  <c r="AN43" i="2"/>
  <c r="AM43" i="2"/>
  <c r="AL43" i="2"/>
  <c r="AK43" i="2"/>
  <c r="AJ43" i="2"/>
  <c r="AI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H41" i="2"/>
  <c r="AH43" i="2" s="1"/>
  <c r="Y41" i="2"/>
  <c r="AO34" i="2"/>
  <c r="AN34" i="2"/>
  <c r="AM34" i="2"/>
  <c r="AL34" i="2"/>
  <c r="AK34" i="2"/>
  <c r="AJ34" i="2"/>
  <c r="AI34" i="2"/>
  <c r="AG34" i="2"/>
  <c r="AF34" i="2"/>
  <c r="AE34" i="2"/>
  <c r="AD34" i="2"/>
  <c r="AC34" i="2"/>
  <c r="AB34" i="2"/>
  <c r="AA34" i="2"/>
  <c r="Z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H32" i="2"/>
  <c r="AH34" i="2" s="1"/>
  <c r="Y32" i="2"/>
  <c r="Y34" i="2" s="1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O16" i="2"/>
  <c r="AN16" i="2"/>
  <c r="AM16" i="2"/>
  <c r="AL16" i="2"/>
  <c r="AK16" i="2"/>
  <c r="AJ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I14" i="2"/>
  <c r="AH14" i="2"/>
  <c r="Y14" i="2"/>
  <c r="P14" i="2"/>
  <c r="P16" i="2" s="1"/>
  <c r="AI13" i="2"/>
  <c r="AI16" i="2" s="1"/>
  <c r="AH13" i="2"/>
  <c r="Q12" i="2"/>
  <c r="AO7" i="2"/>
  <c r="AN7" i="2"/>
  <c r="AM7" i="2"/>
  <c r="AL7" i="2"/>
  <c r="AK7" i="2"/>
  <c r="AJ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O7" i="2"/>
  <c r="N7" i="2"/>
  <c r="M7" i="2"/>
  <c r="L7" i="2"/>
  <c r="K7" i="2"/>
  <c r="J7" i="2"/>
  <c r="I7" i="2"/>
  <c r="H7" i="2"/>
  <c r="G7" i="2"/>
  <c r="F7" i="2"/>
  <c r="E7" i="2"/>
  <c r="D7" i="2"/>
  <c r="B7" i="2"/>
  <c r="P5" i="2"/>
  <c r="P7" i="2" s="1"/>
  <c r="C5" i="2"/>
  <c r="C7" i="2" s="1"/>
  <c r="AI4" i="2"/>
  <c r="AI7" i="2" s="1"/>
  <c r="AH4" i="2"/>
  <c r="AH7" i="2" s="1"/>
  <c r="Q3" i="2"/>
  <c r="P100" i="2" l="1"/>
  <c r="AD413" i="2"/>
</calcChain>
</file>

<file path=xl/sharedStrings.xml><?xml version="1.0" encoding="utf-8"?>
<sst xmlns="http://schemas.openxmlformats.org/spreadsheetml/2006/main" count="2514" uniqueCount="75">
  <si>
    <t>WHITE MAIZE(Kgs)</t>
  </si>
  <si>
    <t>MAIZE FLOUR (Kgs)</t>
  </si>
  <si>
    <t>SOYA BEANS (Kgs)</t>
  </si>
  <si>
    <t>SOYA FLOUR (Kgs)</t>
  </si>
  <si>
    <t>SORGHUM (Kgs)</t>
  </si>
  <si>
    <t>SORGHUM FLOUR (Kgs)</t>
  </si>
  <si>
    <t>ORANGE FLESHED SWEET POTATO (KGS)</t>
  </si>
  <si>
    <t>SUGAR (Kgs)</t>
  </si>
  <si>
    <t>PREMIX (Kgs)</t>
  </si>
  <si>
    <t>CSB NACONEK ( KGS )</t>
  </si>
  <si>
    <t>CSB MOTHER MARY (KGS)</t>
  </si>
  <si>
    <t>APBET&amp;P4L (KGS)</t>
  </si>
  <si>
    <t>SUPER PORRIDGE 500g (PCS)</t>
  </si>
  <si>
    <t>MOTHER MARY 500g (PCS)</t>
  </si>
  <si>
    <t xml:space="preserve"> CSB NACONEK ( KGS )</t>
  </si>
  <si>
    <t>APBET&amp;P4L(KGS)</t>
  </si>
  <si>
    <t>SUPER PORRIDGE 500g ( PCS)</t>
  </si>
  <si>
    <t>MAIZE GERM (KGS)</t>
  </si>
  <si>
    <t>MAIZE CHAFF/COBS (KGS)</t>
  </si>
  <si>
    <t xml:space="preserve"> FLOUR SPILLAGES (KGS)</t>
  </si>
  <si>
    <t>OPENING BALANCE</t>
  </si>
  <si>
    <t>RAW MATERIA IN</t>
  </si>
  <si>
    <t>SHIFT  1</t>
  </si>
  <si>
    <t>SHIFT 2</t>
  </si>
  <si>
    <t xml:space="preserve">CLOSING BALANCE </t>
  </si>
  <si>
    <t xml:space="preserve">                                               BYPRODUCT </t>
  </si>
  <si>
    <t xml:space="preserve">                                                                                                                 RAW MATERIALS </t>
  </si>
  <si>
    <t xml:space="preserve">                                                                                                                      BALANCE IN STORE </t>
  </si>
  <si>
    <t xml:space="preserve">                                                                                                       STOCK OUT </t>
  </si>
  <si>
    <t xml:space="preserve">                                                                                                         FINAL PRODUCT</t>
  </si>
  <si>
    <t>DEWORMING CSB (KGS)</t>
  </si>
  <si>
    <t>SIFTED MAIZE MEAL (KGS)</t>
  </si>
  <si>
    <t>DEGERMED MAIZE MEAL 2KG (PCS)</t>
  </si>
  <si>
    <t>PAPAYA (KGS)</t>
  </si>
  <si>
    <t>DATE: 1/9/2025</t>
  </si>
  <si>
    <t>DATE: 2/9/2025</t>
  </si>
  <si>
    <t>DEGERMED MAIZE MEAL (Bales)</t>
  </si>
  <si>
    <t>DEGERMED MAIZE MEAL (BALES)</t>
  </si>
  <si>
    <t>DATE: 3/9/2025</t>
  </si>
  <si>
    <t>DATE: 4/9/2025</t>
  </si>
  <si>
    <t>DATE: 5/9/2025</t>
  </si>
  <si>
    <t>DATE: 6/9/2025</t>
  </si>
  <si>
    <t>DATE: 8/9/2025</t>
  </si>
  <si>
    <t>DATE: 13/9/2025</t>
  </si>
  <si>
    <t>SIFTED MAIZE  MEAL (KGS)</t>
  </si>
  <si>
    <t>DATE: 17/9/2025</t>
  </si>
  <si>
    <t>SHIFT  2</t>
  </si>
  <si>
    <t>SHIFT  3</t>
  </si>
  <si>
    <t>DATE: 18/9/2025</t>
  </si>
  <si>
    <t>MAIZE /SOYA CHAFFS /COBS/ (KGS)</t>
  </si>
  <si>
    <t>DATE: 19/9/2025</t>
  </si>
  <si>
    <t>DATE: 20/9/2025</t>
  </si>
  <si>
    <t>DATE: 22/9/2025</t>
  </si>
  <si>
    <t>DATE: 23/9/2025</t>
  </si>
  <si>
    <t>24/9/2025</t>
  </si>
  <si>
    <t>25/9/2025</t>
  </si>
  <si>
    <t>26/9/2025</t>
  </si>
  <si>
    <t>MAIZE /SOYA/SORGHUM CHAFFS /COBS/ (KGS)</t>
  </si>
  <si>
    <t xml:space="preserve">           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</si>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</sst>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9" x14ac:knownFonts="1">
    <font>
      <sz val="11"/>
      <name val="Arial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4F"/>
      </patternFill>
    </fill>
    <fill>
      <patternFill patternType="solid">
        <fgColor rgb="FFFFFFFF"/>
      </patternFill>
    </fill>
    <fill>
      <patternFill patternType="none">
        <bgColor indexed="64"/>
      </patternFill>
    </fill>
  </fills>
  <borders count="1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3" borderId="2" xfId="0" applyFont="1" applyFill="1" applyBorder="1" applyAlignment="1"/>
    <xf numFmtId="0" fontId="5" fillId="0" borderId="1" xfId="0" applyFont="1" applyBorder="1" applyAlignment="1"/>
    <xf numFmtId="0" fontId="1" fillId="4" borderId="2" xfId="0" applyFont="1" applyFill="1" applyBorder="1" applyAlignment="1"/>
    <xf numFmtId="0" fontId="6" fillId="0" borderId="3" xfId="0" applyFont="1" applyBorder="1" applyAlignment="1"/>
    <xf numFmtId="0" fontId="7" fillId="2" borderId="4" xfId="0" applyFont="1" applyFill="1" applyBorder="1" applyAlignment="1"/>
    <xf numFmtId="0" fontId="8" fillId="3" borderId="5" xfId="0" applyFont="1" applyFill="1" applyBorder="1" applyAlignment="1"/>
    <xf numFmtId="0" fontId="9" fillId="3" borderId="4" xfId="0" applyFont="1" applyFill="1" applyBorder="1" applyAlignment="1"/>
    <xf numFmtId="0" fontId="10" fillId="3" borderId="2" xfId="0" applyFont="1" applyFill="1" applyBorder="1">
      <alignment vertical="center"/>
    </xf>
    <xf numFmtId="0" fontId="11" fillId="2" borderId="4" xfId="0" applyFont="1" applyFill="1" applyBorder="1" applyAlignment="1"/>
    <xf numFmtId="0" fontId="12" fillId="0" borderId="2" xfId="0" applyFont="1" applyBorder="1" applyAlignment="1"/>
    <xf numFmtId="0" fontId="13" fillId="2" borderId="6" xfId="0" applyFont="1" applyFill="1" applyBorder="1" applyAlignment="1"/>
    <xf numFmtId="0" fontId="14" fillId="0" borderId="7" xfId="0" applyFont="1" applyBorder="1" applyAlignment="1"/>
    <xf numFmtId="0" fontId="15" fillId="2" borderId="2" xfId="0" applyFont="1" applyFill="1" applyBorder="1" applyAlignment="1"/>
    <xf numFmtId="0" fontId="16" fillId="2" borderId="2" xfId="0" applyFont="1" applyFill="1" applyBorder="1">
      <alignment vertical="center"/>
    </xf>
    <xf numFmtId="0" fontId="17" fillId="0" borderId="2" xfId="0" applyFont="1" applyBorder="1" applyAlignment="1"/>
    <xf numFmtId="164" fontId="1" fillId="2" borderId="4" xfId="0" applyNumberFormat="1" applyFont="1" applyFill="1" applyBorder="1" applyAlignment="1"/>
    <xf numFmtId="0" fontId="4" fillId="0" borderId="7" xfId="0" applyFont="1" applyBorder="1" applyAlignment="1"/>
    <xf numFmtId="0" fontId="1" fillId="3" borderId="6" xfId="0" applyFont="1" applyFill="1" applyBorder="1" applyAlignment="1"/>
    <xf numFmtId="0" fontId="4" fillId="0" borderId="4" xfId="0" applyFont="1" applyBorder="1" applyAlignment="1"/>
    <xf numFmtId="0" fontId="4" fillId="0" borderId="8" xfId="0" applyFont="1" applyBorder="1" applyAlignment="1"/>
    <xf numFmtId="0" fontId="4" fillId="0" borderId="5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18" fillId="5" borderId="2" xfId="0" applyFont="1" applyFill="1" applyBorder="1" applyAlignment="1">
      <alignment horizontal="right"/>
    </xf>
    <xf numFmtId="0" fontId="4" fillId="0" borderId="6" xfId="0" applyFont="1" applyBorder="1" applyAlignment="1"/>
    <xf numFmtId="0" fontId="2" fillId="2" borderId="2" xfId="0" applyFont="1" applyFill="1" applyBorder="1" applyAlignment="1"/>
    <xf numFmtId="0" fontId="1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63"/>
  <sheetViews>
    <sheetView tabSelected="1" topLeftCell="A438" zoomScale="82" workbookViewId="0">
      <selection activeCell="B473" sqref="B473"/>
    </sheetView>
  </sheetViews>
  <sheetFormatPr defaultColWidth="10" defaultRowHeight="14.25" x14ac:dyDescent="0.2"/>
  <cols>
    <col min="1" max="1" width="16" bestFit="1" customWidth="1"/>
    <col min="2" max="2" width="15.125" bestFit="1" customWidth="1"/>
    <col min="3" max="3" width="15.5" bestFit="1" customWidth="1"/>
    <col min="4" max="4" width="15" bestFit="1" customWidth="1"/>
    <col min="5" max="5" width="14.75" bestFit="1" customWidth="1"/>
    <col min="6" max="6" width="13" bestFit="1" customWidth="1"/>
    <col min="7" max="7" width="18.75" bestFit="1" customWidth="1"/>
    <col min="8" max="8" width="11.375" bestFit="1" customWidth="1"/>
    <col min="9" max="9" width="32.875" bestFit="1" customWidth="1"/>
    <col min="10" max="10" width="10.125" bestFit="1" customWidth="1"/>
    <col min="11" max="11" width="10.875" bestFit="1" customWidth="1"/>
    <col min="12" max="12" width="17.75" bestFit="1" customWidth="1"/>
    <col min="13" max="13" width="19.125" bestFit="1" customWidth="1"/>
    <col min="14" max="14" width="21" bestFit="1" customWidth="1"/>
    <col min="15" max="15" width="14.625" bestFit="1" customWidth="1"/>
    <col min="16" max="17" width="28.5" bestFit="1" customWidth="1"/>
    <col min="18" max="18" width="21.5" bestFit="1" customWidth="1"/>
    <col min="19" max="19" width="23.375" bestFit="1" customWidth="1"/>
    <col min="20" max="20" width="21.75" bestFit="1" customWidth="1"/>
    <col min="21" max="21" width="18.125" bestFit="1" customWidth="1"/>
    <col min="22" max="22" width="19.125" bestFit="1" customWidth="1"/>
    <col min="23" max="23" width="21" bestFit="1" customWidth="1"/>
    <col min="24" max="24" width="14.125" bestFit="1" customWidth="1"/>
    <col min="25" max="26" width="28.5" bestFit="1" customWidth="1"/>
    <col min="27" max="27" width="21.5" bestFit="1" customWidth="1"/>
    <col min="28" max="28" width="23.375" bestFit="1" customWidth="1"/>
    <col min="29" max="29" width="21.75" bestFit="1" customWidth="1"/>
    <col min="30" max="30" width="17.75" bestFit="1" customWidth="1"/>
    <col min="31" max="31" width="19.125" bestFit="1" customWidth="1"/>
    <col min="32" max="32" width="21" bestFit="1" customWidth="1"/>
    <col min="33" max="33" width="14.625" bestFit="1" customWidth="1"/>
    <col min="34" max="35" width="28.5" bestFit="1" customWidth="1"/>
    <col min="36" max="36" width="27" bestFit="1" customWidth="1"/>
    <col min="37" max="37" width="23.875" bestFit="1" customWidth="1"/>
    <col min="38" max="38" width="21.75" bestFit="1" customWidth="1"/>
    <col min="39" max="39" width="15.375" bestFit="1" customWidth="1"/>
    <col min="40" max="40" width="30.125" bestFit="1" customWidth="1"/>
    <col min="41" max="41" width="20" bestFit="1" customWidth="1"/>
    <col min="42" max="42" width="10" bestFit="1" customWidth="1"/>
  </cols>
  <sheetData>
    <row r="1" spans="1:41" ht="18.75" x14ac:dyDescent="0.3">
      <c r="A1" s="16" t="s">
        <v>34</v>
      </c>
      <c r="B1" s="27" t="s">
        <v>26</v>
      </c>
      <c r="C1" s="27"/>
      <c r="D1" s="27"/>
      <c r="E1" s="27"/>
      <c r="F1" s="27"/>
      <c r="G1" s="27"/>
      <c r="H1" s="27"/>
      <c r="I1" s="27"/>
      <c r="J1" s="27"/>
      <c r="K1" s="27"/>
      <c r="L1" s="27" t="s">
        <v>29</v>
      </c>
      <c r="M1" s="27"/>
      <c r="N1" s="27"/>
      <c r="O1" s="27"/>
      <c r="P1" s="27"/>
      <c r="Q1" s="27"/>
      <c r="R1" s="27"/>
      <c r="S1" s="27"/>
      <c r="T1" s="27"/>
      <c r="U1" s="27" t="s">
        <v>28</v>
      </c>
      <c r="V1" s="27"/>
      <c r="W1" s="27"/>
      <c r="X1" s="27"/>
      <c r="Y1" s="27"/>
      <c r="Z1" s="27"/>
      <c r="AA1" s="27"/>
      <c r="AB1" s="27"/>
      <c r="AC1" s="27"/>
      <c r="AD1" s="27" t="s">
        <v>27</v>
      </c>
      <c r="AE1" s="27"/>
      <c r="AF1" s="27"/>
      <c r="AG1" s="27"/>
      <c r="AH1" s="27"/>
      <c r="AI1" s="27"/>
      <c r="AJ1" s="27"/>
      <c r="AK1" s="27"/>
      <c r="AL1" s="27"/>
      <c r="AM1" s="27" t="s">
        <v>25</v>
      </c>
      <c r="AN1" s="27"/>
      <c r="AO1" s="27"/>
    </row>
    <row r="2" spans="1:41" ht="15" x14ac:dyDescent="0.25">
      <c r="A2" s="28" t="s">
        <v>74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33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30</v>
      </c>
      <c r="N2" s="1" t="s">
        <v>10</v>
      </c>
      <c r="O2" s="1" t="s">
        <v>11</v>
      </c>
      <c r="P2" s="1" t="s">
        <v>32</v>
      </c>
      <c r="Q2" s="1" t="s">
        <v>36</v>
      </c>
      <c r="R2" s="1" t="s">
        <v>31</v>
      </c>
      <c r="S2" s="6" t="s">
        <v>12</v>
      </c>
      <c r="T2" s="6" t="s">
        <v>13</v>
      </c>
      <c r="U2" s="6" t="s">
        <v>14</v>
      </c>
      <c r="V2" s="1" t="s">
        <v>30</v>
      </c>
      <c r="W2" s="6" t="s">
        <v>10</v>
      </c>
      <c r="X2" s="6" t="s">
        <v>15</v>
      </c>
      <c r="Y2" s="1" t="s">
        <v>32</v>
      </c>
      <c r="Z2" s="1" t="s">
        <v>32</v>
      </c>
      <c r="AA2" s="1" t="s">
        <v>31</v>
      </c>
      <c r="AB2" s="1" t="s">
        <v>12</v>
      </c>
      <c r="AC2" s="1" t="s">
        <v>13</v>
      </c>
      <c r="AD2" s="1" t="s">
        <v>9</v>
      </c>
      <c r="AE2" s="1" t="s">
        <v>30</v>
      </c>
      <c r="AF2" s="1" t="s">
        <v>10</v>
      </c>
      <c r="AG2" s="1" t="s">
        <v>11</v>
      </c>
      <c r="AH2" s="1" t="s">
        <v>32</v>
      </c>
      <c r="AI2" s="1" t="s">
        <v>37</v>
      </c>
      <c r="AJ2" s="1" t="s">
        <v>44</v>
      </c>
      <c r="AK2" s="7" t="s">
        <v>16</v>
      </c>
      <c r="AL2" s="8" t="s">
        <v>13</v>
      </c>
      <c r="AM2" s="1" t="s">
        <v>17</v>
      </c>
      <c r="AN2" s="8" t="s">
        <v>18</v>
      </c>
      <c r="AO2" s="8" t="s">
        <v>19</v>
      </c>
    </row>
    <row r="3" spans="1:41" ht="15" x14ac:dyDescent="0.25">
      <c r="A3" s="9" t="s">
        <v>20</v>
      </c>
      <c r="B3" s="10">
        <v>0</v>
      </c>
      <c r="C3" s="10">
        <v>3384</v>
      </c>
      <c r="D3" s="10">
        <v>0</v>
      </c>
      <c r="E3" s="10">
        <v>0</v>
      </c>
      <c r="F3" s="10">
        <v>350</v>
      </c>
      <c r="G3" s="10">
        <v>35</v>
      </c>
      <c r="H3" s="3">
        <v>0</v>
      </c>
      <c r="I3" s="10">
        <v>410</v>
      </c>
      <c r="J3" s="10">
        <v>2</v>
      </c>
      <c r="K3" s="10">
        <v>71.049000000000007</v>
      </c>
      <c r="L3" s="10">
        <v>0</v>
      </c>
      <c r="M3" s="10">
        <v>65</v>
      </c>
      <c r="N3" s="10">
        <v>0</v>
      </c>
      <c r="O3" s="10">
        <v>62</v>
      </c>
      <c r="P3" s="10">
        <v>44892</v>
      </c>
      <c r="Q3" s="10">
        <f>SUM(44892/12)</f>
        <v>3741</v>
      </c>
      <c r="R3" s="10">
        <v>152</v>
      </c>
      <c r="S3" s="10">
        <v>816</v>
      </c>
      <c r="T3" s="10">
        <v>51</v>
      </c>
      <c r="U3" s="10">
        <v>0</v>
      </c>
      <c r="V3" s="10">
        <v>30</v>
      </c>
      <c r="W3" s="10">
        <v>0</v>
      </c>
      <c r="X3" s="10">
        <v>0</v>
      </c>
      <c r="Y3" s="10">
        <v>37817</v>
      </c>
      <c r="Z3" s="10">
        <v>3151</v>
      </c>
      <c r="AA3" s="10">
        <v>0</v>
      </c>
      <c r="AB3" s="10">
        <v>883</v>
      </c>
      <c r="AC3" s="10">
        <v>1</v>
      </c>
      <c r="AD3" s="10">
        <v>0</v>
      </c>
      <c r="AE3" s="10">
        <v>35</v>
      </c>
      <c r="AF3" s="10">
        <v>0</v>
      </c>
      <c r="AG3" s="10">
        <v>62</v>
      </c>
      <c r="AH3" s="10">
        <v>6883</v>
      </c>
      <c r="AI3" s="10">
        <v>573</v>
      </c>
      <c r="AJ3" s="10">
        <v>127</v>
      </c>
      <c r="AK3" s="10">
        <v>24</v>
      </c>
      <c r="AL3" s="10">
        <v>50</v>
      </c>
      <c r="AM3" s="10">
        <v>0</v>
      </c>
      <c r="AN3" s="10">
        <v>0</v>
      </c>
      <c r="AO3" s="10">
        <v>0</v>
      </c>
    </row>
    <row r="4" spans="1:41" ht="15" x14ac:dyDescent="0.25">
      <c r="A4" s="9" t="s">
        <v>21</v>
      </c>
      <c r="B4" s="10">
        <v>0</v>
      </c>
      <c r="C4" s="10">
        <v>0</v>
      </c>
      <c r="D4" s="10">
        <v>90</v>
      </c>
      <c r="E4" s="10">
        <v>0</v>
      </c>
      <c r="F4" s="10">
        <v>0</v>
      </c>
      <c r="G4" s="10">
        <v>0</v>
      </c>
      <c r="H4" s="2">
        <v>0</v>
      </c>
      <c r="I4" s="10">
        <v>0</v>
      </c>
      <c r="J4" s="10">
        <v>10</v>
      </c>
      <c r="K4" s="10">
        <v>0</v>
      </c>
      <c r="L4" s="10">
        <v>0</v>
      </c>
      <c r="M4" s="10">
        <v>0</v>
      </c>
      <c r="N4" s="10">
        <v>0</v>
      </c>
      <c r="O4" s="10">
        <v>25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75</v>
      </c>
      <c r="Y4" s="10">
        <v>0</v>
      </c>
      <c r="Z4" s="10">
        <v>0</v>
      </c>
      <c r="AA4" s="10">
        <v>0</v>
      </c>
      <c r="AB4" s="10">
        <v>0</v>
      </c>
      <c r="AC4" s="10">
        <v>50</v>
      </c>
      <c r="AD4" s="10">
        <v>0</v>
      </c>
      <c r="AE4" s="10">
        <v>0</v>
      </c>
      <c r="AF4" s="10">
        <v>0</v>
      </c>
      <c r="AG4" s="10">
        <v>25</v>
      </c>
      <c r="AH4" s="10">
        <f>SUM(81*12)</f>
        <v>972</v>
      </c>
      <c r="AI4" s="10">
        <f>SUM(81)</f>
        <v>81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</row>
    <row r="5" spans="1:41" ht="15" x14ac:dyDescent="0.25">
      <c r="A5" s="11" t="s">
        <v>22</v>
      </c>
      <c r="B5" s="12">
        <v>0</v>
      </c>
      <c r="C5" s="17">
        <f>SUM(81*24+12)</f>
        <v>1956</v>
      </c>
      <c r="D5" s="12">
        <v>0</v>
      </c>
      <c r="E5" s="12">
        <v>0</v>
      </c>
      <c r="F5" s="12">
        <v>0</v>
      </c>
      <c r="G5" s="12">
        <v>0</v>
      </c>
      <c r="H5" s="4">
        <v>0</v>
      </c>
      <c r="I5" s="12">
        <v>0</v>
      </c>
      <c r="J5" s="12">
        <v>0</v>
      </c>
      <c r="K5" s="12">
        <v>0.5</v>
      </c>
      <c r="L5" s="12">
        <v>0</v>
      </c>
      <c r="M5" s="12">
        <v>0</v>
      </c>
      <c r="N5" s="12">
        <v>0</v>
      </c>
      <c r="O5" s="12">
        <v>0</v>
      </c>
      <c r="P5" s="10">
        <f>SUM(81*12)</f>
        <v>972</v>
      </c>
      <c r="Q5" s="10">
        <v>81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24</v>
      </c>
      <c r="AC5" s="12">
        <v>0</v>
      </c>
      <c r="AD5" s="12">
        <v>0</v>
      </c>
      <c r="AE5" s="12">
        <v>10</v>
      </c>
      <c r="AF5" s="12">
        <v>0</v>
      </c>
      <c r="AG5" s="12">
        <v>75</v>
      </c>
      <c r="AH5" s="12">
        <v>0</v>
      </c>
      <c r="AI5" s="12">
        <v>0</v>
      </c>
      <c r="AJ5" s="12">
        <v>0</v>
      </c>
      <c r="AK5" s="12">
        <v>24</v>
      </c>
      <c r="AL5" s="12">
        <v>26</v>
      </c>
      <c r="AM5" s="12">
        <v>0</v>
      </c>
      <c r="AN5" s="12">
        <v>0</v>
      </c>
      <c r="AO5" s="12">
        <v>44</v>
      </c>
    </row>
    <row r="6" spans="1:41" ht="15" x14ac:dyDescent="0.25">
      <c r="A6" s="13" t="s">
        <v>23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2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5">
        <v>0</v>
      </c>
    </row>
    <row r="7" spans="1:41" ht="15" x14ac:dyDescent="0.25">
      <c r="A7" s="14" t="s">
        <v>24</v>
      </c>
      <c r="B7" s="10">
        <f t="shared" ref="B7:L7" si="0">SUM(B3+B4-B5-B6)</f>
        <v>0</v>
      </c>
      <c r="C7" s="10">
        <f t="shared" si="0"/>
        <v>1428</v>
      </c>
      <c r="D7" s="10">
        <f t="shared" si="0"/>
        <v>90</v>
      </c>
      <c r="E7" s="10">
        <f t="shared" si="0"/>
        <v>0</v>
      </c>
      <c r="F7" s="10">
        <f t="shared" si="0"/>
        <v>350</v>
      </c>
      <c r="G7" s="10">
        <f t="shared" si="0"/>
        <v>35</v>
      </c>
      <c r="H7" s="2">
        <f t="shared" si="0"/>
        <v>0</v>
      </c>
      <c r="I7" s="10">
        <f t="shared" si="0"/>
        <v>410</v>
      </c>
      <c r="J7" s="10">
        <f t="shared" si="0"/>
        <v>12</v>
      </c>
      <c r="K7" s="10">
        <f t="shared" si="0"/>
        <v>70.549000000000007</v>
      </c>
      <c r="L7" s="10">
        <f t="shared" si="0"/>
        <v>0</v>
      </c>
      <c r="M7" s="10">
        <f>SUM(M3+M4+M5+M6)</f>
        <v>65</v>
      </c>
      <c r="N7" s="10">
        <f>SUM(N3+N4-N5-N6)</f>
        <v>0</v>
      </c>
      <c r="O7" s="10">
        <f>SUM(O3+O4-O5-O6)</f>
        <v>87</v>
      </c>
      <c r="P7" s="10">
        <f>SUM(P3+P4+P5+P6)</f>
        <v>45864</v>
      </c>
      <c r="Q7" s="10">
        <f>SUM(Q3-Q4+Q5+Q6)</f>
        <v>3822</v>
      </c>
      <c r="R7" s="10">
        <f>SUM(R3+R4+R5+R6)</f>
        <v>152</v>
      </c>
      <c r="S7" s="10">
        <f>SUM(S3-S4+S5+S6)</f>
        <v>816</v>
      </c>
      <c r="T7" s="10">
        <f>SUM(T3+T4+T5+T6)</f>
        <v>51</v>
      </c>
      <c r="U7" s="10">
        <f>SUM(U3+U4-U5-U6)</f>
        <v>0</v>
      </c>
      <c r="V7" s="10">
        <f>SUM(V3+V4-V5-V6)</f>
        <v>30</v>
      </c>
      <c r="W7" s="10">
        <f>SUM(W3+W4-W5-W6)</f>
        <v>0</v>
      </c>
      <c r="X7" s="10">
        <f>SUM(X3+X4-X5-X6)</f>
        <v>75</v>
      </c>
      <c r="Y7" s="10">
        <f>SUM(Y3+Y4+Y5+Y6)</f>
        <v>37817</v>
      </c>
      <c r="Z7" s="10">
        <f>SUM(Z3+Z4+Z5+Z6)</f>
        <v>3151</v>
      </c>
      <c r="AA7" s="10">
        <f>SUM(AA3+AA4+AA5+AA6)</f>
        <v>0</v>
      </c>
      <c r="AB7" s="10">
        <f>SUM(AB3-AB4+AB5+AB6)</f>
        <v>907</v>
      </c>
      <c r="AC7" s="10">
        <f t="shared" ref="AC7:AL7" si="1">SUM(AC3+AC4-AC5-AC6)</f>
        <v>51</v>
      </c>
      <c r="AD7" s="10">
        <f t="shared" si="1"/>
        <v>0</v>
      </c>
      <c r="AE7" s="10">
        <f t="shared" si="1"/>
        <v>25</v>
      </c>
      <c r="AF7" s="10">
        <f t="shared" si="1"/>
        <v>0</v>
      </c>
      <c r="AG7" s="10">
        <f t="shared" si="1"/>
        <v>12</v>
      </c>
      <c r="AH7" s="10">
        <f t="shared" si="1"/>
        <v>7855</v>
      </c>
      <c r="AI7" s="10">
        <f t="shared" si="1"/>
        <v>654</v>
      </c>
      <c r="AJ7" s="10">
        <f t="shared" si="1"/>
        <v>127</v>
      </c>
      <c r="AK7" s="10">
        <f t="shared" si="1"/>
        <v>0</v>
      </c>
      <c r="AL7" s="10">
        <f t="shared" si="1"/>
        <v>24</v>
      </c>
      <c r="AM7" s="10">
        <f>SUM(AM3-AM4+AM5+AM6)</f>
        <v>0</v>
      </c>
      <c r="AN7" s="10">
        <f>SUM(AN3-AN4+AN5+AN6)</f>
        <v>0</v>
      </c>
      <c r="AO7" s="10">
        <f>SUM(AO3-AO4+AO5+AO6)</f>
        <v>44</v>
      </c>
    </row>
    <row r="10" spans="1:41" ht="18.75" x14ac:dyDescent="0.3">
      <c r="A10" s="16" t="s">
        <v>35</v>
      </c>
      <c r="B10" s="27" t="s">
        <v>26</v>
      </c>
      <c r="C10" s="27"/>
      <c r="D10" s="27"/>
      <c r="E10" s="27"/>
      <c r="F10" s="27"/>
      <c r="G10" s="27"/>
      <c r="H10" s="27"/>
      <c r="I10" s="27"/>
      <c r="J10" s="27"/>
      <c r="K10" s="27"/>
      <c r="L10" s="27" t="s">
        <v>29</v>
      </c>
      <c r="M10" s="27"/>
      <c r="N10" s="27"/>
      <c r="O10" s="27"/>
      <c r="P10" s="27"/>
      <c r="Q10" s="27"/>
      <c r="R10" s="27"/>
      <c r="S10" s="27"/>
      <c r="T10" s="27"/>
      <c r="U10" s="27" t="s">
        <v>28</v>
      </c>
      <c r="V10" s="27"/>
      <c r="W10" s="27"/>
      <c r="X10" s="27"/>
      <c r="Y10" s="27"/>
      <c r="Z10" s="27"/>
      <c r="AA10" s="27"/>
      <c r="AB10" s="27"/>
      <c r="AC10" s="27"/>
      <c r="AD10" s="27" t="s">
        <v>27</v>
      </c>
      <c r="AE10" s="27"/>
      <c r="AF10" s="27"/>
      <c r="AG10" s="27"/>
      <c r="AH10" s="27"/>
      <c r="AI10" s="27"/>
      <c r="AJ10" s="27"/>
      <c r="AK10" s="27"/>
      <c r="AL10" s="27"/>
      <c r="AM10" s="27" t="s">
        <v>25</v>
      </c>
      <c r="AN10" s="27"/>
      <c r="AO10" s="27"/>
    </row>
    <row r="11" spans="1:41" ht="15" x14ac:dyDescent="0.25">
      <c r="A11" s="5" t="s">
        <v>74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33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30</v>
      </c>
      <c r="N11" s="1" t="s">
        <v>10</v>
      </c>
      <c r="O11" s="1" t="s">
        <v>11</v>
      </c>
      <c r="P11" s="1" t="s">
        <v>32</v>
      </c>
      <c r="Q11" s="1" t="s">
        <v>37</v>
      </c>
      <c r="R11" s="1" t="s">
        <v>31</v>
      </c>
      <c r="S11" s="6" t="s">
        <v>12</v>
      </c>
      <c r="T11" s="6" t="s">
        <v>13</v>
      </c>
      <c r="U11" s="6" t="s">
        <v>14</v>
      </c>
      <c r="V11" s="1" t="s">
        <v>30</v>
      </c>
      <c r="W11" s="6" t="s">
        <v>10</v>
      </c>
      <c r="X11" s="6" t="s">
        <v>15</v>
      </c>
      <c r="Y11" s="1" t="s">
        <v>32</v>
      </c>
      <c r="Z11" s="1" t="s">
        <v>37</v>
      </c>
      <c r="AA11" s="1" t="s">
        <v>31</v>
      </c>
      <c r="AB11" s="1" t="s">
        <v>12</v>
      </c>
      <c r="AC11" s="1" t="s">
        <v>13</v>
      </c>
      <c r="AD11" s="1" t="s">
        <v>9</v>
      </c>
      <c r="AE11" s="1" t="s">
        <v>30</v>
      </c>
      <c r="AF11" s="1" t="s">
        <v>10</v>
      </c>
      <c r="AG11" s="1" t="s">
        <v>11</v>
      </c>
      <c r="AH11" s="18" t="s">
        <v>32</v>
      </c>
      <c r="AI11" s="18" t="s">
        <v>37</v>
      </c>
      <c r="AJ11" s="1" t="s">
        <v>44</v>
      </c>
      <c r="AK11" s="7" t="s">
        <v>16</v>
      </c>
      <c r="AL11" s="8" t="s">
        <v>13</v>
      </c>
      <c r="AM11" s="1" t="s">
        <v>17</v>
      </c>
      <c r="AN11" s="8" t="s">
        <v>18</v>
      </c>
      <c r="AO11" s="8" t="s">
        <v>19</v>
      </c>
    </row>
    <row r="12" spans="1:41" ht="15" x14ac:dyDescent="0.25">
      <c r="A12" s="9" t="s">
        <v>20</v>
      </c>
      <c r="B12" s="10">
        <v>0</v>
      </c>
      <c r="C12" s="10">
        <v>1428</v>
      </c>
      <c r="D12" s="10">
        <v>90</v>
      </c>
      <c r="E12" s="10">
        <v>0</v>
      </c>
      <c r="F12" s="10">
        <v>350</v>
      </c>
      <c r="G12" s="10">
        <v>35</v>
      </c>
      <c r="H12" s="3">
        <v>0</v>
      </c>
      <c r="I12" s="10">
        <v>410</v>
      </c>
      <c r="J12" s="10">
        <v>12</v>
      </c>
      <c r="K12" s="10">
        <v>70.549000000000007</v>
      </c>
      <c r="L12" s="10">
        <v>0</v>
      </c>
      <c r="M12" s="10">
        <v>65</v>
      </c>
      <c r="N12" s="10">
        <v>0</v>
      </c>
      <c r="O12" s="10">
        <v>87</v>
      </c>
      <c r="P12" s="10">
        <v>45864</v>
      </c>
      <c r="Q12" s="10">
        <f>SUM(45864/12)</f>
        <v>3822</v>
      </c>
      <c r="R12" s="10">
        <v>152</v>
      </c>
      <c r="S12" s="10">
        <v>816</v>
      </c>
      <c r="T12" s="10">
        <v>51</v>
      </c>
      <c r="U12" s="10">
        <v>0</v>
      </c>
      <c r="V12" s="10">
        <v>30</v>
      </c>
      <c r="W12" s="10">
        <v>0</v>
      </c>
      <c r="X12" s="10">
        <v>75</v>
      </c>
      <c r="Y12" s="10">
        <v>37817</v>
      </c>
      <c r="Z12" s="10">
        <v>3151</v>
      </c>
      <c r="AA12" s="10">
        <v>0</v>
      </c>
      <c r="AB12" s="10">
        <v>907</v>
      </c>
      <c r="AC12" s="10">
        <v>51</v>
      </c>
      <c r="AD12" s="10">
        <v>0</v>
      </c>
      <c r="AE12" s="10">
        <v>25</v>
      </c>
      <c r="AF12" s="10">
        <v>0</v>
      </c>
      <c r="AG12" s="19">
        <v>12</v>
      </c>
      <c r="AH12" s="20">
        <v>7855</v>
      </c>
      <c r="AI12" s="20">
        <v>654</v>
      </c>
      <c r="AJ12" s="21">
        <v>127</v>
      </c>
      <c r="AK12" s="10">
        <v>0</v>
      </c>
      <c r="AL12" s="10">
        <v>24</v>
      </c>
      <c r="AM12" s="10">
        <v>0</v>
      </c>
      <c r="AN12" s="10">
        <v>0</v>
      </c>
      <c r="AO12" s="10">
        <v>44</v>
      </c>
    </row>
    <row r="13" spans="1:41" ht="15" x14ac:dyDescent="0.25">
      <c r="A13" s="9" t="s">
        <v>21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2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9">
        <v>0</v>
      </c>
      <c r="AH13" s="20">
        <f>SUM(53*12+4)</f>
        <v>640</v>
      </c>
      <c r="AI13" s="20">
        <f>SUM(53)</f>
        <v>53</v>
      </c>
      <c r="AJ13" s="21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44</v>
      </c>
    </row>
    <row r="14" spans="1:41" ht="15" x14ac:dyDescent="0.25">
      <c r="A14" s="11" t="s">
        <v>22</v>
      </c>
      <c r="B14" s="12">
        <v>0</v>
      </c>
      <c r="C14" s="17">
        <v>1428</v>
      </c>
      <c r="D14" s="12">
        <v>0</v>
      </c>
      <c r="E14" s="12">
        <v>0</v>
      </c>
      <c r="F14" s="12">
        <v>0</v>
      </c>
      <c r="G14" s="12">
        <v>0</v>
      </c>
      <c r="H14" s="4">
        <v>0</v>
      </c>
      <c r="I14" s="12">
        <v>0</v>
      </c>
      <c r="J14" s="12">
        <v>0</v>
      </c>
      <c r="K14" s="12">
        <v>0.5</v>
      </c>
      <c r="L14" s="12">
        <v>0</v>
      </c>
      <c r="M14" s="12">
        <v>0</v>
      </c>
      <c r="N14" s="12">
        <v>0</v>
      </c>
      <c r="O14" s="12">
        <v>0</v>
      </c>
      <c r="P14" s="10">
        <f>SUM(53*12+4)</f>
        <v>640</v>
      </c>
      <c r="Q14" s="10">
        <v>53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f>SUM(48*12)</f>
        <v>576</v>
      </c>
      <c r="Z14" s="12">
        <v>48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22">
        <v>0</v>
      </c>
      <c r="AH14" s="20">
        <f>SUM(48*12)</f>
        <v>576</v>
      </c>
      <c r="AI14" s="20">
        <f>SUM(48)</f>
        <v>48</v>
      </c>
      <c r="AJ14" s="23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</row>
    <row r="15" spans="1:41" ht="15" x14ac:dyDescent="0.25">
      <c r="A15" s="13" t="s">
        <v>23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2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24">
        <v>0</v>
      </c>
      <c r="AI15" s="24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5">
        <v>0</v>
      </c>
    </row>
    <row r="16" spans="1:41" ht="15" x14ac:dyDescent="0.25">
      <c r="A16" s="14" t="s">
        <v>24</v>
      </c>
      <c r="B16" s="10">
        <f t="shared" ref="B16:L16" si="2">SUM(B12+B13-B14-B15)</f>
        <v>0</v>
      </c>
      <c r="C16" s="10">
        <f t="shared" si="2"/>
        <v>0</v>
      </c>
      <c r="D16" s="10">
        <f t="shared" si="2"/>
        <v>90</v>
      </c>
      <c r="E16" s="10">
        <f t="shared" si="2"/>
        <v>0</v>
      </c>
      <c r="F16" s="10">
        <f t="shared" si="2"/>
        <v>350</v>
      </c>
      <c r="G16" s="10">
        <f t="shared" si="2"/>
        <v>35</v>
      </c>
      <c r="H16" s="2">
        <f t="shared" si="2"/>
        <v>0</v>
      </c>
      <c r="I16" s="10">
        <f t="shared" si="2"/>
        <v>410</v>
      </c>
      <c r="J16" s="10">
        <f t="shared" si="2"/>
        <v>12</v>
      </c>
      <c r="K16" s="10">
        <f t="shared" si="2"/>
        <v>70.049000000000007</v>
      </c>
      <c r="L16" s="10">
        <f t="shared" si="2"/>
        <v>0</v>
      </c>
      <c r="M16" s="10">
        <f>SUM(M12+M13+M14+M15)</f>
        <v>65</v>
      </c>
      <c r="N16" s="10">
        <f>SUM(N12+N13-N14-N15)</f>
        <v>0</v>
      </c>
      <c r="O16" s="10">
        <f>SUM(O12+O13-O14-O15)</f>
        <v>87</v>
      </c>
      <c r="P16" s="10">
        <f>SUM(P12+P13+P14+P15)</f>
        <v>46504</v>
      </c>
      <c r="Q16" s="10">
        <f>SUM(Q12-Q13+Q14+Q15)</f>
        <v>3875</v>
      </c>
      <c r="R16" s="10">
        <f>SUM(R12+R13+R14+R15)</f>
        <v>152</v>
      </c>
      <c r="S16" s="10">
        <f>SUM(S12-S13+S14+S15)</f>
        <v>816</v>
      </c>
      <c r="T16" s="10">
        <f>SUM(T12+T13+T14+T15)</f>
        <v>51</v>
      </c>
      <c r="U16" s="10">
        <f>SUM(U12+U13-U14-U15)</f>
        <v>0</v>
      </c>
      <c r="V16" s="10">
        <f>SUM(V12+V13-V14-V15)</f>
        <v>30</v>
      </c>
      <c r="W16" s="10">
        <f>SUM(W12+W13-W14-W15)</f>
        <v>0</v>
      </c>
      <c r="X16" s="10">
        <f>SUM(X12+X13-X14-X15)</f>
        <v>75</v>
      </c>
      <c r="Y16" s="10">
        <f>SUM(Y12+Y13+Y14+Y15)</f>
        <v>38393</v>
      </c>
      <c r="Z16" s="10">
        <f>SUM(Z12+Z13+Z14+Z15)</f>
        <v>3199</v>
      </c>
      <c r="AA16" s="10">
        <f>SUM(AA12+AA13+AA14+AA15)</f>
        <v>0</v>
      </c>
      <c r="AB16" s="10">
        <f>SUM(AB12-AB13+AB14+AB15)</f>
        <v>907</v>
      </c>
      <c r="AC16" s="10">
        <f t="shared" ref="AC16:AL16" si="3">SUM(AC12+AC13-AC14-AC15)</f>
        <v>51</v>
      </c>
      <c r="AD16" s="10">
        <f t="shared" si="3"/>
        <v>0</v>
      </c>
      <c r="AE16" s="10">
        <f t="shared" si="3"/>
        <v>25</v>
      </c>
      <c r="AF16" s="10">
        <f t="shared" si="3"/>
        <v>0</v>
      </c>
      <c r="AG16" s="10">
        <f t="shared" si="3"/>
        <v>12</v>
      </c>
      <c r="AH16" s="10">
        <f t="shared" si="3"/>
        <v>7919</v>
      </c>
      <c r="AI16" s="10">
        <f t="shared" si="3"/>
        <v>659</v>
      </c>
      <c r="AJ16" s="10">
        <f t="shared" si="3"/>
        <v>127</v>
      </c>
      <c r="AK16" s="10">
        <f t="shared" si="3"/>
        <v>0</v>
      </c>
      <c r="AL16" s="10">
        <f t="shared" si="3"/>
        <v>24</v>
      </c>
      <c r="AM16" s="10">
        <f>SUM(AM12-AM13+AM14+AM15)</f>
        <v>0</v>
      </c>
      <c r="AN16" s="10">
        <f>SUM(AN12-AN13+AN14+AN15)</f>
        <v>0</v>
      </c>
      <c r="AO16" s="10">
        <f>SUM(AO12-AO13+AO14+AO15)</f>
        <v>0</v>
      </c>
    </row>
    <row r="19" spans="1:41" ht="18.75" x14ac:dyDescent="0.3">
      <c r="A19" s="16" t="s">
        <v>38</v>
      </c>
      <c r="B19" s="27" t="s">
        <v>26</v>
      </c>
      <c r="C19" s="27"/>
      <c r="D19" s="27"/>
      <c r="E19" s="27"/>
      <c r="F19" s="27"/>
      <c r="G19" s="27"/>
      <c r="H19" s="27"/>
      <c r="I19" s="27"/>
      <c r="J19" s="27"/>
      <c r="K19" s="27"/>
      <c r="L19" s="27" t="s">
        <v>29</v>
      </c>
      <c r="M19" s="27"/>
      <c r="N19" s="27"/>
      <c r="O19" s="27"/>
      <c r="P19" s="27"/>
      <c r="Q19" s="27"/>
      <c r="R19" s="27"/>
      <c r="S19" s="27"/>
      <c r="T19" s="27"/>
      <c r="U19" s="27" t="s">
        <v>28</v>
      </c>
      <c r="V19" s="27"/>
      <c r="W19" s="27"/>
      <c r="X19" s="27"/>
      <c r="Y19" s="27"/>
      <c r="Z19" s="27"/>
      <c r="AA19" s="27"/>
      <c r="AB19" s="27"/>
      <c r="AC19" s="27"/>
      <c r="AD19" s="27" t="s">
        <v>27</v>
      </c>
      <c r="AE19" s="27"/>
      <c r="AF19" s="27"/>
      <c r="AG19" s="27"/>
      <c r="AH19" s="27"/>
      <c r="AI19" s="27"/>
      <c r="AJ19" s="27"/>
      <c r="AK19" s="27"/>
      <c r="AL19" s="27"/>
      <c r="AM19" s="27" t="s">
        <v>25</v>
      </c>
      <c r="AN19" s="27"/>
      <c r="AO19" s="27"/>
    </row>
    <row r="20" spans="1:41" ht="15" x14ac:dyDescent="0.25">
      <c r="A20" s="5" t="s">
        <v>74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33</v>
      </c>
      <c r="I20" s="1" t="s">
        <v>6</v>
      </c>
      <c r="J20" s="1" t="s">
        <v>7</v>
      </c>
      <c r="K20" s="1" t="s">
        <v>8</v>
      </c>
      <c r="L20" s="1" t="s">
        <v>9</v>
      </c>
      <c r="M20" s="1" t="s">
        <v>30</v>
      </c>
      <c r="N20" s="1" t="s">
        <v>10</v>
      </c>
      <c r="O20" s="1" t="s">
        <v>11</v>
      </c>
      <c r="P20" s="1" t="s">
        <v>32</v>
      </c>
      <c r="Q20" s="1" t="s">
        <v>37</v>
      </c>
      <c r="R20" s="1" t="s">
        <v>31</v>
      </c>
      <c r="S20" s="6" t="s">
        <v>12</v>
      </c>
      <c r="T20" s="6" t="s">
        <v>13</v>
      </c>
      <c r="U20" s="6" t="s">
        <v>14</v>
      </c>
      <c r="V20" s="1" t="s">
        <v>30</v>
      </c>
      <c r="W20" s="6" t="s">
        <v>10</v>
      </c>
      <c r="X20" s="6" t="s">
        <v>15</v>
      </c>
      <c r="Y20" s="1" t="s">
        <v>32</v>
      </c>
      <c r="Z20" s="1" t="s">
        <v>37</v>
      </c>
      <c r="AA20" s="1" t="s">
        <v>31</v>
      </c>
      <c r="AB20" s="1" t="s">
        <v>12</v>
      </c>
      <c r="AC20" s="1" t="s">
        <v>13</v>
      </c>
      <c r="AD20" s="1" t="s">
        <v>9</v>
      </c>
      <c r="AE20" s="1" t="s">
        <v>30</v>
      </c>
      <c r="AF20" s="1" t="s">
        <v>10</v>
      </c>
      <c r="AG20" s="1" t="s">
        <v>11</v>
      </c>
      <c r="AH20" s="18" t="s">
        <v>32</v>
      </c>
      <c r="AI20" s="18" t="s">
        <v>37</v>
      </c>
      <c r="AJ20" s="1" t="s">
        <v>44</v>
      </c>
      <c r="AK20" s="7" t="s">
        <v>16</v>
      </c>
      <c r="AL20" s="8" t="s">
        <v>13</v>
      </c>
      <c r="AM20" s="1" t="s">
        <v>17</v>
      </c>
      <c r="AN20" s="8" t="s">
        <v>18</v>
      </c>
      <c r="AO20" s="8" t="s">
        <v>19</v>
      </c>
    </row>
    <row r="21" spans="1:41" ht="15" x14ac:dyDescent="0.25">
      <c r="A21" s="9" t="s">
        <v>20</v>
      </c>
      <c r="B21" s="10">
        <v>0</v>
      </c>
      <c r="C21" s="10">
        <v>0</v>
      </c>
      <c r="D21" s="10">
        <v>90</v>
      </c>
      <c r="E21" s="10">
        <v>0</v>
      </c>
      <c r="F21" s="10">
        <v>350</v>
      </c>
      <c r="G21" s="10">
        <v>35</v>
      </c>
      <c r="H21" s="3">
        <v>0</v>
      </c>
      <c r="I21" s="10">
        <v>410</v>
      </c>
      <c r="J21" s="10">
        <v>12</v>
      </c>
      <c r="K21" s="10">
        <v>70.049000000000007</v>
      </c>
      <c r="L21" s="10">
        <v>0</v>
      </c>
      <c r="M21" s="10">
        <v>65</v>
      </c>
      <c r="N21" s="10">
        <v>0</v>
      </c>
      <c r="O21" s="10">
        <v>87</v>
      </c>
      <c r="P21" s="10">
        <v>46504</v>
      </c>
      <c r="Q21" s="10">
        <v>3875</v>
      </c>
      <c r="R21" s="10">
        <v>152</v>
      </c>
      <c r="S21" s="10">
        <v>816</v>
      </c>
      <c r="T21" s="10">
        <v>51</v>
      </c>
      <c r="U21" s="10">
        <v>0</v>
      </c>
      <c r="V21" s="10">
        <v>30</v>
      </c>
      <c r="W21" s="10">
        <v>0</v>
      </c>
      <c r="X21" s="10">
        <v>75</v>
      </c>
      <c r="Y21" s="10">
        <v>38393</v>
      </c>
      <c r="Z21" s="10">
        <v>3199</v>
      </c>
      <c r="AA21" s="10">
        <v>0</v>
      </c>
      <c r="AB21" s="10">
        <v>907</v>
      </c>
      <c r="AC21" s="10">
        <v>51</v>
      </c>
      <c r="AD21" s="10">
        <v>0</v>
      </c>
      <c r="AE21" s="10">
        <v>25</v>
      </c>
      <c r="AF21" s="10">
        <v>0</v>
      </c>
      <c r="AG21" s="19">
        <v>12</v>
      </c>
      <c r="AH21" s="20">
        <v>7919</v>
      </c>
      <c r="AI21" s="20">
        <v>659</v>
      </c>
      <c r="AJ21" s="21">
        <v>127</v>
      </c>
      <c r="AK21" s="10">
        <v>0</v>
      </c>
      <c r="AL21" s="10">
        <v>24</v>
      </c>
      <c r="AM21" s="10">
        <v>0</v>
      </c>
      <c r="AN21" s="10">
        <v>0</v>
      </c>
      <c r="AO21" s="10">
        <v>0</v>
      </c>
    </row>
    <row r="22" spans="1:41" ht="15" x14ac:dyDescent="0.25">
      <c r="A22" s="9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2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9">
        <v>0</v>
      </c>
      <c r="AH22" s="20">
        <v>0</v>
      </c>
      <c r="AI22" s="20">
        <v>0</v>
      </c>
      <c r="AJ22" s="21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</row>
    <row r="23" spans="1:41" ht="15" x14ac:dyDescent="0.25">
      <c r="A23" s="11" t="s">
        <v>22</v>
      </c>
      <c r="B23" s="12">
        <v>0</v>
      </c>
      <c r="C23" s="17">
        <v>0</v>
      </c>
      <c r="D23" s="12">
        <v>0</v>
      </c>
      <c r="E23" s="12">
        <v>0</v>
      </c>
      <c r="F23" s="12">
        <v>0</v>
      </c>
      <c r="G23" s="12">
        <v>0</v>
      </c>
      <c r="H23" s="4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0">
        <v>0</v>
      </c>
      <c r="Q23" s="10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22">
        <v>0</v>
      </c>
      <c r="AH23" s="20">
        <v>0</v>
      </c>
      <c r="AI23" s="20">
        <v>0</v>
      </c>
      <c r="AJ23" s="23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</row>
    <row r="24" spans="1:41" ht="15" x14ac:dyDescent="0.25">
      <c r="A24" s="13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2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24">
        <v>0</v>
      </c>
      <c r="AI24" s="24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5">
        <v>0</v>
      </c>
    </row>
    <row r="25" spans="1:41" ht="15" x14ac:dyDescent="0.25">
      <c r="A25" s="14" t="s">
        <v>24</v>
      </c>
      <c r="B25" s="10">
        <f t="shared" ref="B25:L25" si="4">SUM(B21+B22-B23-B24)</f>
        <v>0</v>
      </c>
      <c r="C25" s="10">
        <f t="shared" si="4"/>
        <v>0</v>
      </c>
      <c r="D25" s="10">
        <f t="shared" si="4"/>
        <v>90</v>
      </c>
      <c r="E25" s="10">
        <f t="shared" si="4"/>
        <v>0</v>
      </c>
      <c r="F25" s="10">
        <f t="shared" si="4"/>
        <v>350</v>
      </c>
      <c r="G25" s="10">
        <f t="shared" si="4"/>
        <v>35</v>
      </c>
      <c r="H25" s="2">
        <f t="shared" si="4"/>
        <v>0</v>
      </c>
      <c r="I25" s="10">
        <f t="shared" si="4"/>
        <v>410</v>
      </c>
      <c r="J25" s="10">
        <f t="shared" si="4"/>
        <v>12</v>
      </c>
      <c r="K25" s="10">
        <f t="shared" si="4"/>
        <v>70.049000000000007</v>
      </c>
      <c r="L25" s="10">
        <f t="shared" si="4"/>
        <v>0</v>
      </c>
      <c r="M25" s="10">
        <f>SUM(M21+M22+M23+M24)</f>
        <v>65</v>
      </c>
      <c r="N25" s="10">
        <f>SUM(N21+N22-N23-N24)</f>
        <v>0</v>
      </c>
      <c r="O25" s="10">
        <f>SUM(O21+O22-O23-O24)</f>
        <v>87</v>
      </c>
      <c r="P25" s="10">
        <f>SUM(P21+P22+P23+P24)</f>
        <v>46504</v>
      </c>
      <c r="Q25" s="10">
        <f>SUM(Q21-Q22+Q23+Q24)</f>
        <v>3875</v>
      </c>
      <c r="R25" s="10">
        <f>SUM(R21+R22+R23+R24)</f>
        <v>152</v>
      </c>
      <c r="S25" s="10">
        <f>SUM(S21-S22+S23+S24)</f>
        <v>816</v>
      </c>
      <c r="T25" s="10">
        <f>SUM(T21+T22+T23+T24)</f>
        <v>51</v>
      </c>
      <c r="U25" s="10">
        <f>SUM(U21+U22-U23-U24)</f>
        <v>0</v>
      </c>
      <c r="V25" s="10">
        <f>SUM(V21+V22-V23-V24)</f>
        <v>30</v>
      </c>
      <c r="W25" s="10">
        <f>SUM(W21+W22-W23-W24)</f>
        <v>0</v>
      </c>
      <c r="X25" s="10">
        <f>SUM(X21+X22-X23-X24)</f>
        <v>75</v>
      </c>
      <c r="Y25" s="10">
        <f>SUM(Y21+Y22+Y23+Y24)</f>
        <v>38393</v>
      </c>
      <c r="Z25" s="10">
        <f>SUM(Z21+Z22+Z23+Z24)</f>
        <v>3199</v>
      </c>
      <c r="AA25" s="10">
        <f>SUM(AA21+AA22+AA23+AA24)</f>
        <v>0</v>
      </c>
      <c r="AB25" s="10">
        <f>SUM(AB21-AB22+AB23+AB24)</f>
        <v>907</v>
      </c>
      <c r="AC25" s="10">
        <f t="shared" ref="AC25:AL25" si="5">SUM(AC21+AC22-AC23-AC24)</f>
        <v>51</v>
      </c>
      <c r="AD25" s="10">
        <f t="shared" si="5"/>
        <v>0</v>
      </c>
      <c r="AE25" s="10">
        <f t="shared" si="5"/>
        <v>25</v>
      </c>
      <c r="AF25" s="10">
        <f t="shared" si="5"/>
        <v>0</v>
      </c>
      <c r="AG25" s="10">
        <f t="shared" si="5"/>
        <v>12</v>
      </c>
      <c r="AH25" s="10">
        <f t="shared" si="5"/>
        <v>7919</v>
      </c>
      <c r="AI25" s="10">
        <f t="shared" si="5"/>
        <v>659</v>
      </c>
      <c r="AJ25" s="10">
        <f t="shared" si="5"/>
        <v>127</v>
      </c>
      <c r="AK25" s="10">
        <f t="shared" si="5"/>
        <v>0</v>
      </c>
      <c r="AL25" s="10">
        <f t="shared" si="5"/>
        <v>24</v>
      </c>
      <c r="AM25" s="10">
        <f>SUM(AM21-AM22+AM23+AM24)</f>
        <v>0</v>
      </c>
      <c r="AN25" s="10">
        <f>SUM(AN21-AN22+AN23+AN24)</f>
        <v>0</v>
      </c>
      <c r="AO25" s="10">
        <f>SUM(AO21-AO22+AO23+AO24)</f>
        <v>0</v>
      </c>
    </row>
    <row r="28" spans="1:41" ht="18.75" x14ac:dyDescent="0.3">
      <c r="A28" s="16" t="s">
        <v>39</v>
      </c>
      <c r="B28" s="27" t="s">
        <v>26</v>
      </c>
      <c r="C28" s="27"/>
      <c r="D28" s="27"/>
      <c r="E28" s="27"/>
      <c r="F28" s="27"/>
      <c r="G28" s="27"/>
      <c r="H28" s="27"/>
      <c r="I28" s="27"/>
      <c r="J28" s="27"/>
      <c r="K28" s="27"/>
      <c r="L28" s="27" t="s">
        <v>29</v>
      </c>
      <c r="M28" s="27"/>
      <c r="N28" s="27"/>
      <c r="O28" s="27"/>
      <c r="P28" s="27"/>
      <c r="Q28" s="27"/>
      <c r="R28" s="27"/>
      <c r="S28" s="27"/>
      <c r="T28" s="27"/>
      <c r="U28" s="27" t="s">
        <v>28</v>
      </c>
      <c r="V28" s="27"/>
      <c r="W28" s="27"/>
      <c r="X28" s="27"/>
      <c r="Y28" s="27"/>
      <c r="Z28" s="27"/>
      <c r="AA28" s="27"/>
      <c r="AB28" s="27"/>
      <c r="AC28" s="27"/>
      <c r="AD28" s="27" t="s">
        <v>27</v>
      </c>
      <c r="AE28" s="27"/>
      <c r="AF28" s="27"/>
      <c r="AG28" s="27"/>
      <c r="AH28" s="27"/>
      <c r="AI28" s="27"/>
      <c r="AJ28" s="27"/>
      <c r="AK28" s="27"/>
      <c r="AL28" s="27"/>
      <c r="AM28" s="27" t="s">
        <v>25</v>
      </c>
      <c r="AN28" s="27"/>
      <c r="AO28" s="27"/>
    </row>
    <row r="29" spans="1:41" ht="15" x14ac:dyDescent="0.25">
      <c r="A29" s="5" t="s">
        <v>74</v>
      </c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33</v>
      </c>
      <c r="I29" s="1" t="s">
        <v>6</v>
      </c>
      <c r="J29" s="1" t="s">
        <v>7</v>
      </c>
      <c r="K29" s="1" t="s">
        <v>8</v>
      </c>
      <c r="L29" s="1" t="s">
        <v>9</v>
      </c>
      <c r="M29" s="1" t="s">
        <v>30</v>
      </c>
      <c r="N29" s="1" t="s">
        <v>10</v>
      </c>
      <c r="O29" s="1" t="s">
        <v>11</v>
      </c>
      <c r="P29" s="1" t="s">
        <v>32</v>
      </c>
      <c r="Q29" s="1" t="s">
        <v>37</v>
      </c>
      <c r="R29" s="1" t="s">
        <v>31</v>
      </c>
      <c r="S29" s="6" t="s">
        <v>12</v>
      </c>
      <c r="T29" s="6" t="s">
        <v>13</v>
      </c>
      <c r="U29" s="6" t="s">
        <v>14</v>
      </c>
      <c r="V29" s="1" t="s">
        <v>30</v>
      </c>
      <c r="W29" s="6" t="s">
        <v>10</v>
      </c>
      <c r="X29" s="6" t="s">
        <v>15</v>
      </c>
      <c r="Y29" s="1" t="s">
        <v>32</v>
      </c>
      <c r="Z29" s="1" t="s">
        <v>37</v>
      </c>
      <c r="AA29" s="1" t="s">
        <v>31</v>
      </c>
      <c r="AB29" s="1" t="s">
        <v>12</v>
      </c>
      <c r="AC29" s="1" t="s">
        <v>13</v>
      </c>
      <c r="AD29" s="1" t="s">
        <v>9</v>
      </c>
      <c r="AE29" s="1" t="s">
        <v>30</v>
      </c>
      <c r="AF29" s="1" t="s">
        <v>10</v>
      </c>
      <c r="AG29" s="1" t="s">
        <v>11</v>
      </c>
      <c r="AH29" s="18" t="s">
        <v>32</v>
      </c>
      <c r="AI29" s="18" t="s">
        <v>37</v>
      </c>
      <c r="AJ29" s="1" t="s">
        <v>44</v>
      </c>
      <c r="AK29" s="7" t="s">
        <v>16</v>
      </c>
      <c r="AL29" s="8" t="s">
        <v>13</v>
      </c>
      <c r="AM29" s="1" t="s">
        <v>17</v>
      </c>
      <c r="AN29" s="8" t="s">
        <v>18</v>
      </c>
      <c r="AO29" s="8" t="s">
        <v>19</v>
      </c>
    </row>
    <row r="30" spans="1:41" ht="15" x14ac:dyDescent="0.25">
      <c r="A30" s="9" t="s">
        <v>20</v>
      </c>
      <c r="B30" s="10">
        <v>0</v>
      </c>
      <c r="C30" s="10">
        <v>0</v>
      </c>
      <c r="D30" s="10">
        <v>90</v>
      </c>
      <c r="E30" s="10">
        <v>0</v>
      </c>
      <c r="F30" s="10">
        <v>350</v>
      </c>
      <c r="G30" s="10">
        <v>35</v>
      </c>
      <c r="H30" s="3">
        <v>0</v>
      </c>
      <c r="I30" s="10">
        <v>410</v>
      </c>
      <c r="J30" s="10">
        <v>12</v>
      </c>
      <c r="K30" s="10">
        <v>70.049000000000007</v>
      </c>
      <c r="L30" s="10">
        <v>0</v>
      </c>
      <c r="M30" s="10">
        <v>65</v>
      </c>
      <c r="N30" s="10">
        <v>0</v>
      </c>
      <c r="O30" s="10">
        <v>87</v>
      </c>
      <c r="P30" s="10">
        <v>46504</v>
      </c>
      <c r="Q30" s="10">
        <v>3875</v>
      </c>
      <c r="R30" s="10">
        <v>152</v>
      </c>
      <c r="S30" s="10">
        <v>816</v>
      </c>
      <c r="T30" s="10">
        <v>51</v>
      </c>
      <c r="U30" s="10">
        <v>0</v>
      </c>
      <c r="V30" s="10">
        <v>30</v>
      </c>
      <c r="W30" s="10">
        <v>0</v>
      </c>
      <c r="X30" s="10">
        <v>75</v>
      </c>
      <c r="Y30" s="10">
        <v>38393</v>
      </c>
      <c r="Z30" s="10">
        <v>3199</v>
      </c>
      <c r="AA30" s="10">
        <v>0</v>
      </c>
      <c r="AB30" s="10">
        <v>907</v>
      </c>
      <c r="AC30" s="10">
        <v>51</v>
      </c>
      <c r="AD30" s="10">
        <v>0</v>
      </c>
      <c r="AE30" s="10">
        <v>25</v>
      </c>
      <c r="AF30" s="10">
        <v>0</v>
      </c>
      <c r="AG30" s="19">
        <v>12</v>
      </c>
      <c r="AH30" s="20">
        <v>7919</v>
      </c>
      <c r="AI30" s="20">
        <v>659</v>
      </c>
      <c r="AJ30" s="21">
        <v>127</v>
      </c>
      <c r="AK30" s="10">
        <v>0</v>
      </c>
      <c r="AL30" s="10">
        <v>24</v>
      </c>
      <c r="AM30" s="10">
        <v>0</v>
      </c>
      <c r="AN30" s="10">
        <v>0</v>
      </c>
      <c r="AO30" s="10">
        <v>0</v>
      </c>
    </row>
    <row r="31" spans="1:41" ht="15" x14ac:dyDescent="0.25">
      <c r="A31" s="9" t="s">
        <v>21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2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9">
        <v>0</v>
      </c>
      <c r="AH31" s="20">
        <v>0</v>
      </c>
      <c r="AI31" s="20">
        <v>0</v>
      </c>
      <c r="AJ31" s="21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</row>
    <row r="32" spans="1:41" ht="15" x14ac:dyDescent="0.25">
      <c r="A32" s="11" t="s">
        <v>22</v>
      </c>
      <c r="B32" s="12">
        <v>0</v>
      </c>
      <c r="C32" s="17">
        <v>0</v>
      </c>
      <c r="D32" s="12">
        <v>0</v>
      </c>
      <c r="E32" s="12">
        <v>0</v>
      </c>
      <c r="F32" s="12">
        <v>0</v>
      </c>
      <c r="G32" s="12">
        <v>0</v>
      </c>
      <c r="H32" s="4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0">
        <v>0</v>
      </c>
      <c r="Q32" s="10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f>SUM(301*12)</f>
        <v>3612</v>
      </c>
      <c r="Z32" s="12">
        <v>301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22">
        <v>0</v>
      </c>
      <c r="AH32" s="20">
        <f>SUM(301*12)</f>
        <v>3612</v>
      </c>
      <c r="AI32" s="20">
        <v>301</v>
      </c>
      <c r="AJ32" s="23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</row>
    <row r="33" spans="1:41" ht="15" x14ac:dyDescent="0.25">
      <c r="A33" s="13" t="s">
        <v>23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2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24">
        <v>0</v>
      </c>
      <c r="AI33" s="24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5">
        <v>0</v>
      </c>
    </row>
    <row r="34" spans="1:41" ht="15" x14ac:dyDescent="0.25">
      <c r="A34" s="14" t="s">
        <v>24</v>
      </c>
      <c r="B34" s="10">
        <f t="shared" ref="B34:L34" si="6">SUM(B30+B31-B32-B33)</f>
        <v>0</v>
      </c>
      <c r="C34" s="10">
        <f t="shared" si="6"/>
        <v>0</v>
      </c>
      <c r="D34" s="10">
        <f t="shared" si="6"/>
        <v>90</v>
      </c>
      <c r="E34" s="10">
        <f t="shared" si="6"/>
        <v>0</v>
      </c>
      <c r="F34" s="10">
        <f t="shared" si="6"/>
        <v>350</v>
      </c>
      <c r="G34" s="10">
        <f t="shared" si="6"/>
        <v>35</v>
      </c>
      <c r="H34" s="2">
        <f t="shared" si="6"/>
        <v>0</v>
      </c>
      <c r="I34" s="10">
        <f t="shared" si="6"/>
        <v>410</v>
      </c>
      <c r="J34" s="10">
        <f t="shared" si="6"/>
        <v>12</v>
      </c>
      <c r="K34" s="10">
        <f t="shared" si="6"/>
        <v>70.049000000000007</v>
      </c>
      <c r="L34" s="10">
        <f t="shared" si="6"/>
        <v>0</v>
      </c>
      <c r="M34" s="10">
        <f>SUM(M30+M31+M32+M33)</f>
        <v>65</v>
      </c>
      <c r="N34" s="10">
        <f>SUM(N30+N31-N32-N33)</f>
        <v>0</v>
      </c>
      <c r="O34" s="10">
        <f>SUM(O30+O31-O32-O33)</f>
        <v>87</v>
      </c>
      <c r="P34" s="10">
        <f>SUM(P30+P31+P32+P33)</f>
        <v>46504</v>
      </c>
      <c r="Q34" s="10">
        <f>SUM(Q30-Q31+Q32+Q33)</f>
        <v>3875</v>
      </c>
      <c r="R34" s="10">
        <f>SUM(R30+R31+R32+R33)</f>
        <v>152</v>
      </c>
      <c r="S34" s="10">
        <f>SUM(S30-S31+S32+S33)</f>
        <v>816</v>
      </c>
      <c r="T34" s="10">
        <f>SUM(T30+T31+T32+T33)</f>
        <v>51</v>
      </c>
      <c r="U34" s="10">
        <f>SUM(U30+U31-U32-U33)</f>
        <v>0</v>
      </c>
      <c r="V34" s="10">
        <f>SUM(V30+V31-V32-V33)</f>
        <v>30</v>
      </c>
      <c r="W34" s="10">
        <f>SUM(W30+W31-W32-W33)</f>
        <v>0</v>
      </c>
      <c r="X34" s="10">
        <f>SUM(X30+X31-X32-X33)</f>
        <v>75</v>
      </c>
      <c r="Y34" s="10">
        <f>SUM(Y30+Y31+Y32+Y33)</f>
        <v>42005</v>
      </c>
      <c r="Z34" s="10">
        <f>SUM(Z30+Z31+Z32+Z33)</f>
        <v>3500</v>
      </c>
      <c r="AA34" s="10">
        <f>SUM(AA30+AA31+AA32+AA33)</f>
        <v>0</v>
      </c>
      <c r="AB34" s="10">
        <f>SUM(AB30-AB31+AB32+AB33)</f>
        <v>907</v>
      </c>
      <c r="AC34" s="10">
        <f t="shared" ref="AC34:AL34" si="7">SUM(AC30+AC31-AC32-AC33)</f>
        <v>51</v>
      </c>
      <c r="AD34" s="10">
        <f t="shared" si="7"/>
        <v>0</v>
      </c>
      <c r="AE34" s="10">
        <f t="shared" si="7"/>
        <v>25</v>
      </c>
      <c r="AF34" s="10">
        <f t="shared" si="7"/>
        <v>0</v>
      </c>
      <c r="AG34" s="10">
        <f t="shared" si="7"/>
        <v>12</v>
      </c>
      <c r="AH34" s="10">
        <f t="shared" si="7"/>
        <v>4307</v>
      </c>
      <c r="AI34" s="10">
        <f t="shared" si="7"/>
        <v>358</v>
      </c>
      <c r="AJ34" s="10">
        <f t="shared" si="7"/>
        <v>127</v>
      </c>
      <c r="AK34" s="10">
        <f t="shared" si="7"/>
        <v>0</v>
      </c>
      <c r="AL34" s="10">
        <f t="shared" si="7"/>
        <v>24</v>
      </c>
      <c r="AM34" s="10">
        <f>SUM(AM30-AM31+AM32+AM33)</f>
        <v>0</v>
      </c>
      <c r="AN34" s="10">
        <f>SUM(AN30-AN31+AN32+AN33)</f>
        <v>0</v>
      </c>
      <c r="AO34" s="10">
        <f>SUM(AO30-AO31+AO32+AO33)</f>
        <v>0</v>
      </c>
    </row>
    <row r="37" spans="1:41" ht="18.75" x14ac:dyDescent="0.3">
      <c r="A37" s="16" t="s">
        <v>40</v>
      </c>
      <c r="B37" s="27" t="s">
        <v>26</v>
      </c>
      <c r="C37" s="27"/>
      <c r="D37" s="27"/>
      <c r="E37" s="27"/>
      <c r="F37" s="27"/>
      <c r="G37" s="27"/>
      <c r="H37" s="27"/>
      <c r="I37" s="27"/>
      <c r="J37" s="27"/>
      <c r="K37" s="27"/>
      <c r="L37" s="27" t="s">
        <v>29</v>
      </c>
      <c r="M37" s="27"/>
      <c r="N37" s="27"/>
      <c r="O37" s="27"/>
      <c r="P37" s="27"/>
      <c r="Q37" s="27"/>
      <c r="R37" s="27"/>
      <c r="S37" s="27"/>
      <c r="T37" s="27"/>
      <c r="U37" s="27" t="s">
        <v>28</v>
      </c>
      <c r="V37" s="27"/>
      <c r="W37" s="27"/>
      <c r="X37" s="27"/>
      <c r="Y37" s="27"/>
      <c r="Z37" s="27"/>
      <c r="AA37" s="27"/>
      <c r="AB37" s="27"/>
      <c r="AC37" s="27"/>
      <c r="AD37" s="27" t="s">
        <v>27</v>
      </c>
      <c r="AE37" s="27"/>
      <c r="AF37" s="27"/>
      <c r="AG37" s="27"/>
      <c r="AH37" s="27"/>
      <c r="AI37" s="27"/>
      <c r="AJ37" s="27"/>
      <c r="AK37" s="27"/>
      <c r="AL37" s="27"/>
      <c r="AM37" s="27" t="s">
        <v>25</v>
      </c>
      <c r="AN37" s="27"/>
      <c r="AO37" s="27"/>
    </row>
    <row r="38" spans="1:41" ht="15" x14ac:dyDescent="0.25">
      <c r="A38" s="5" t="s">
        <v>74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33</v>
      </c>
      <c r="I38" s="1" t="s">
        <v>6</v>
      </c>
      <c r="J38" s="1" t="s">
        <v>7</v>
      </c>
      <c r="K38" s="1" t="s">
        <v>8</v>
      </c>
      <c r="L38" s="1" t="s">
        <v>9</v>
      </c>
      <c r="M38" s="1" t="s">
        <v>30</v>
      </c>
      <c r="N38" s="1" t="s">
        <v>10</v>
      </c>
      <c r="O38" s="1" t="s">
        <v>11</v>
      </c>
      <c r="P38" s="1" t="s">
        <v>32</v>
      </c>
      <c r="Q38" s="1" t="s">
        <v>37</v>
      </c>
      <c r="R38" s="1" t="s">
        <v>31</v>
      </c>
      <c r="S38" s="6" t="s">
        <v>12</v>
      </c>
      <c r="T38" s="6" t="s">
        <v>13</v>
      </c>
      <c r="U38" s="6" t="s">
        <v>14</v>
      </c>
      <c r="V38" s="1" t="s">
        <v>30</v>
      </c>
      <c r="W38" s="6" t="s">
        <v>10</v>
      </c>
      <c r="X38" s="6" t="s">
        <v>15</v>
      </c>
      <c r="Y38" s="1" t="s">
        <v>32</v>
      </c>
      <c r="Z38" s="1" t="s">
        <v>37</v>
      </c>
      <c r="AA38" s="1" t="s">
        <v>31</v>
      </c>
      <c r="AB38" s="1" t="s">
        <v>12</v>
      </c>
      <c r="AC38" s="1" t="s">
        <v>13</v>
      </c>
      <c r="AD38" s="1" t="s">
        <v>9</v>
      </c>
      <c r="AE38" s="1" t="s">
        <v>30</v>
      </c>
      <c r="AF38" s="1" t="s">
        <v>10</v>
      </c>
      <c r="AG38" s="1" t="s">
        <v>11</v>
      </c>
      <c r="AH38" s="18" t="s">
        <v>32</v>
      </c>
      <c r="AI38" s="18" t="s">
        <v>37</v>
      </c>
      <c r="AJ38" s="1" t="s">
        <v>44</v>
      </c>
      <c r="AK38" s="7" t="s">
        <v>16</v>
      </c>
      <c r="AL38" s="8" t="s">
        <v>13</v>
      </c>
      <c r="AM38" s="1" t="s">
        <v>17</v>
      </c>
      <c r="AN38" s="8" t="s">
        <v>18</v>
      </c>
      <c r="AO38" s="8" t="s">
        <v>19</v>
      </c>
    </row>
    <row r="39" spans="1:41" ht="15" x14ac:dyDescent="0.25">
      <c r="A39" s="9" t="s">
        <v>20</v>
      </c>
      <c r="B39" s="10">
        <v>0</v>
      </c>
      <c r="C39" s="10">
        <v>0</v>
      </c>
      <c r="D39" s="10">
        <v>90</v>
      </c>
      <c r="E39" s="10">
        <v>0</v>
      </c>
      <c r="F39" s="10">
        <v>350</v>
      </c>
      <c r="G39" s="10">
        <v>35</v>
      </c>
      <c r="H39" s="3">
        <v>0</v>
      </c>
      <c r="I39" s="10">
        <v>410</v>
      </c>
      <c r="J39" s="10">
        <v>12</v>
      </c>
      <c r="K39" s="10">
        <v>70.049000000000007</v>
      </c>
      <c r="L39" s="10">
        <v>0</v>
      </c>
      <c r="M39" s="10">
        <v>65</v>
      </c>
      <c r="N39" s="10">
        <v>0</v>
      </c>
      <c r="O39" s="10">
        <v>87</v>
      </c>
      <c r="P39" s="10">
        <v>46504</v>
      </c>
      <c r="Q39" s="10">
        <v>3875</v>
      </c>
      <c r="R39" s="10">
        <v>152</v>
      </c>
      <c r="S39" s="10">
        <v>816</v>
      </c>
      <c r="T39" s="10">
        <v>51</v>
      </c>
      <c r="U39" s="10">
        <v>0</v>
      </c>
      <c r="V39" s="10">
        <v>30</v>
      </c>
      <c r="W39" s="10">
        <v>0</v>
      </c>
      <c r="X39" s="10">
        <v>75</v>
      </c>
      <c r="Y39" s="10">
        <v>42005</v>
      </c>
      <c r="Z39" s="10">
        <v>3500</v>
      </c>
      <c r="AA39" s="10">
        <v>0</v>
      </c>
      <c r="AB39" s="10">
        <v>907</v>
      </c>
      <c r="AC39" s="10">
        <v>51</v>
      </c>
      <c r="AD39" s="10">
        <v>0</v>
      </c>
      <c r="AE39" s="10">
        <v>25</v>
      </c>
      <c r="AF39" s="10">
        <v>0</v>
      </c>
      <c r="AG39" s="19">
        <v>12</v>
      </c>
      <c r="AH39" s="20">
        <v>4307</v>
      </c>
      <c r="AI39" s="20">
        <v>358</v>
      </c>
      <c r="AJ39" s="21">
        <v>127</v>
      </c>
      <c r="AK39" s="10">
        <v>0</v>
      </c>
      <c r="AL39" s="10">
        <v>24</v>
      </c>
      <c r="AM39" s="10">
        <v>0</v>
      </c>
      <c r="AN39" s="10">
        <v>0</v>
      </c>
      <c r="AO39" s="10">
        <v>0</v>
      </c>
    </row>
    <row r="40" spans="1:41" ht="15" x14ac:dyDescent="0.25">
      <c r="A40" s="9" t="s">
        <v>21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2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9">
        <v>0</v>
      </c>
      <c r="AH40" s="20">
        <v>0</v>
      </c>
      <c r="AI40" s="20">
        <v>0</v>
      </c>
      <c r="AJ40" s="21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</row>
    <row r="41" spans="1:41" ht="15" x14ac:dyDescent="0.25">
      <c r="A41" s="11" t="s">
        <v>22</v>
      </c>
      <c r="B41" s="12">
        <v>0</v>
      </c>
      <c r="C41" s="17">
        <v>0</v>
      </c>
      <c r="D41" s="12">
        <v>0</v>
      </c>
      <c r="E41" s="12">
        <v>0</v>
      </c>
      <c r="F41" s="12">
        <v>0</v>
      </c>
      <c r="G41" s="12">
        <v>0</v>
      </c>
      <c r="H41" s="4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0">
        <v>0</v>
      </c>
      <c r="Q41" s="10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f>SUM(308*12)</f>
        <v>3696</v>
      </c>
      <c r="Z41" s="12">
        <v>308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22">
        <v>12</v>
      </c>
      <c r="AH41" s="20">
        <f>SUM(308*12)</f>
        <v>3696</v>
      </c>
      <c r="AI41" s="20">
        <v>308</v>
      </c>
      <c r="AJ41" s="23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</row>
    <row r="42" spans="1:41" ht="15" x14ac:dyDescent="0.25">
      <c r="A42" s="13" t="s">
        <v>23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2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24">
        <v>0</v>
      </c>
      <c r="AI42" s="24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5">
        <v>0</v>
      </c>
    </row>
    <row r="43" spans="1:41" ht="15" x14ac:dyDescent="0.25">
      <c r="A43" s="14" t="s">
        <v>24</v>
      </c>
      <c r="B43" s="10">
        <f t="shared" ref="B43:L43" si="8">SUM(B39+B40-B41-B42)</f>
        <v>0</v>
      </c>
      <c r="C43" s="10">
        <f t="shared" si="8"/>
        <v>0</v>
      </c>
      <c r="D43" s="10">
        <f t="shared" si="8"/>
        <v>90</v>
      </c>
      <c r="E43" s="10">
        <f t="shared" si="8"/>
        <v>0</v>
      </c>
      <c r="F43" s="10">
        <f t="shared" si="8"/>
        <v>350</v>
      </c>
      <c r="G43" s="10">
        <f t="shared" si="8"/>
        <v>35</v>
      </c>
      <c r="H43" s="2">
        <f t="shared" si="8"/>
        <v>0</v>
      </c>
      <c r="I43" s="10">
        <f t="shared" si="8"/>
        <v>410</v>
      </c>
      <c r="J43" s="10">
        <f t="shared" si="8"/>
        <v>12</v>
      </c>
      <c r="K43" s="10">
        <f t="shared" si="8"/>
        <v>70.049000000000007</v>
      </c>
      <c r="L43" s="10">
        <f t="shared" si="8"/>
        <v>0</v>
      </c>
      <c r="M43" s="10">
        <f>SUM(M39+M40+M41+M42)</f>
        <v>65</v>
      </c>
      <c r="N43" s="10">
        <f>SUM(N39+N40-N41-N42)</f>
        <v>0</v>
      </c>
      <c r="O43" s="10">
        <f>SUM(O39+O40-O41-O42)</f>
        <v>87</v>
      </c>
      <c r="P43" s="10">
        <f>SUM(P39+P40+P41+P42)</f>
        <v>46504</v>
      </c>
      <c r="Q43" s="10">
        <f>SUM(Q39-Q40+Q41+Q42)</f>
        <v>3875</v>
      </c>
      <c r="R43" s="10">
        <f>SUM(R39+R40+R41+R42)</f>
        <v>152</v>
      </c>
      <c r="S43" s="10">
        <f>SUM(S39-S40+S41+S42)</f>
        <v>816</v>
      </c>
      <c r="T43" s="10">
        <f>SUM(T39+T40+T41+T42)</f>
        <v>51</v>
      </c>
      <c r="U43" s="10">
        <f>SUM(U39+U40-U41-U42)</f>
        <v>0</v>
      </c>
      <c r="V43" s="10">
        <f>SUM(V39+V40-V41-V42)</f>
        <v>30</v>
      </c>
      <c r="W43" s="10">
        <f>SUM(W39+W40-W41-W42)</f>
        <v>0</v>
      </c>
      <c r="X43" s="10">
        <f>SUM(X39+X40-X41-X42)</f>
        <v>75</v>
      </c>
      <c r="Y43" s="10">
        <f>SUM(Y39+Y40+Y41+Y42)</f>
        <v>45701</v>
      </c>
      <c r="Z43" s="10">
        <f>SUM(Z39+Z40+Z41+Z42)</f>
        <v>3808</v>
      </c>
      <c r="AA43" s="10">
        <f>SUM(AA39+AA40+AA41+AA42)</f>
        <v>0</v>
      </c>
      <c r="AB43" s="10">
        <f>SUM(AB39-AB40+AB41+AB42)</f>
        <v>907</v>
      </c>
      <c r="AC43" s="10">
        <f t="shared" ref="AC43:AL43" si="9">SUM(AC39+AC40-AC41-AC42)</f>
        <v>51</v>
      </c>
      <c r="AD43" s="10">
        <f t="shared" si="9"/>
        <v>0</v>
      </c>
      <c r="AE43" s="10">
        <f t="shared" si="9"/>
        <v>25</v>
      </c>
      <c r="AF43" s="10">
        <f t="shared" si="9"/>
        <v>0</v>
      </c>
      <c r="AG43" s="10">
        <f t="shared" si="9"/>
        <v>0</v>
      </c>
      <c r="AH43" s="10">
        <f t="shared" si="9"/>
        <v>611</v>
      </c>
      <c r="AI43" s="10">
        <f t="shared" si="9"/>
        <v>50</v>
      </c>
      <c r="AJ43" s="10">
        <f t="shared" si="9"/>
        <v>127</v>
      </c>
      <c r="AK43" s="10">
        <f t="shared" si="9"/>
        <v>0</v>
      </c>
      <c r="AL43" s="10">
        <f t="shared" si="9"/>
        <v>24</v>
      </c>
      <c r="AM43" s="10">
        <f>SUM(AM39-AM40+AM41+AM42)</f>
        <v>0</v>
      </c>
      <c r="AN43" s="10">
        <f>SUM(AN39-AN40+AN41+AN42)</f>
        <v>0</v>
      </c>
      <c r="AO43" s="10">
        <f>SUM(AO39-AO40+AO41+AO42)</f>
        <v>0</v>
      </c>
    </row>
    <row r="46" spans="1:41" ht="18.75" x14ac:dyDescent="0.3">
      <c r="A46" s="16" t="s">
        <v>41</v>
      </c>
      <c r="B46" s="27" t="s">
        <v>26</v>
      </c>
      <c r="C46" s="27"/>
      <c r="D46" s="27"/>
      <c r="E46" s="27"/>
      <c r="F46" s="27"/>
      <c r="G46" s="27"/>
      <c r="H46" s="27"/>
      <c r="I46" s="27"/>
      <c r="J46" s="27"/>
      <c r="K46" s="27"/>
      <c r="L46" s="27" t="s">
        <v>29</v>
      </c>
      <c r="M46" s="27"/>
      <c r="N46" s="27"/>
      <c r="O46" s="27"/>
      <c r="P46" s="27"/>
      <c r="Q46" s="27"/>
      <c r="R46" s="27"/>
      <c r="S46" s="27"/>
      <c r="T46" s="27"/>
      <c r="U46" s="27" t="s">
        <v>28</v>
      </c>
      <c r="V46" s="27"/>
      <c r="W46" s="27"/>
      <c r="X46" s="27"/>
      <c r="Y46" s="27"/>
      <c r="Z46" s="27"/>
      <c r="AA46" s="27"/>
      <c r="AB46" s="27"/>
      <c r="AC46" s="27"/>
      <c r="AD46" s="27" t="s">
        <v>27</v>
      </c>
      <c r="AE46" s="27"/>
      <c r="AF46" s="27"/>
      <c r="AG46" s="27"/>
      <c r="AH46" s="27"/>
      <c r="AI46" s="27"/>
      <c r="AJ46" s="27"/>
      <c r="AK46" s="27"/>
      <c r="AL46" s="27"/>
      <c r="AM46" s="27" t="s">
        <v>25</v>
      </c>
      <c r="AN46" s="27"/>
      <c r="AO46" s="27"/>
    </row>
    <row r="47" spans="1:41" ht="15" x14ac:dyDescent="0.25">
      <c r="A47" s="5" t="s">
        <v>74</v>
      </c>
      <c r="B47" s="1" t="s">
        <v>0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5</v>
      </c>
      <c r="H47" s="1" t="s">
        <v>33</v>
      </c>
      <c r="I47" s="1" t="s">
        <v>6</v>
      </c>
      <c r="J47" s="1" t="s">
        <v>7</v>
      </c>
      <c r="K47" s="1" t="s">
        <v>8</v>
      </c>
      <c r="L47" s="1" t="s">
        <v>9</v>
      </c>
      <c r="M47" s="1" t="s">
        <v>30</v>
      </c>
      <c r="N47" s="1" t="s">
        <v>10</v>
      </c>
      <c r="O47" s="1" t="s">
        <v>11</v>
      </c>
      <c r="P47" s="1" t="s">
        <v>32</v>
      </c>
      <c r="Q47" s="1" t="s">
        <v>37</v>
      </c>
      <c r="R47" s="1" t="s">
        <v>31</v>
      </c>
      <c r="S47" s="6" t="s">
        <v>12</v>
      </c>
      <c r="T47" s="6" t="s">
        <v>13</v>
      </c>
      <c r="U47" s="6" t="s">
        <v>14</v>
      </c>
      <c r="V47" s="1" t="s">
        <v>30</v>
      </c>
      <c r="W47" s="6" t="s">
        <v>10</v>
      </c>
      <c r="X47" s="6" t="s">
        <v>15</v>
      </c>
      <c r="Y47" s="1" t="s">
        <v>32</v>
      </c>
      <c r="Z47" s="1" t="s">
        <v>37</v>
      </c>
      <c r="AA47" s="1" t="s">
        <v>31</v>
      </c>
      <c r="AB47" s="1" t="s">
        <v>12</v>
      </c>
      <c r="AC47" s="1" t="s">
        <v>13</v>
      </c>
      <c r="AD47" s="1" t="s">
        <v>9</v>
      </c>
      <c r="AE47" s="1" t="s">
        <v>30</v>
      </c>
      <c r="AF47" s="1" t="s">
        <v>10</v>
      </c>
      <c r="AG47" s="1" t="s">
        <v>11</v>
      </c>
      <c r="AH47" s="18" t="s">
        <v>32</v>
      </c>
      <c r="AI47" s="18" t="s">
        <v>37</v>
      </c>
      <c r="AJ47" s="1" t="s">
        <v>44</v>
      </c>
      <c r="AK47" s="7" t="s">
        <v>16</v>
      </c>
      <c r="AL47" s="8" t="s">
        <v>13</v>
      </c>
      <c r="AM47" s="1" t="s">
        <v>17</v>
      </c>
      <c r="AN47" s="8" t="s">
        <v>18</v>
      </c>
      <c r="AO47" s="8" t="s">
        <v>19</v>
      </c>
    </row>
    <row r="48" spans="1:41" ht="15" x14ac:dyDescent="0.25">
      <c r="A48" s="9" t="s">
        <v>20</v>
      </c>
      <c r="B48" s="10">
        <v>0</v>
      </c>
      <c r="C48" s="10">
        <v>0</v>
      </c>
      <c r="D48" s="10">
        <v>90</v>
      </c>
      <c r="E48" s="10">
        <v>0</v>
      </c>
      <c r="F48" s="10">
        <v>350</v>
      </c>
      <c r="G48" s="10">
        <v>35</v>
      </c>
      <c r="H48" s="3">
        <v>0</v>
      </c>
      <c r="I48" s="10">
        <v>410</v>
      </c>
      <c r="J48" s="10">
        <v>12</v>
      </c>
      <c r="K48" s="10">
        <v>70.049000000000007</v>
      </c>
      <c r="L48" s="10">
        <v>0</v>
      </c>
      <c r="M48" s="10">
        <v>65</v>
      </c>
      <c r="N48" s="10">
        <v>0</v>
      </c>
      <c r="O48" s="10">
        <v>87</v>
      </c>
      <c r="P48" s="10">
        <v>46504</v>
      </c>
      <c r="Q48" s="10">
        <v>3875</v>
      </c>
      <c r="R48" s="10">
        <v>152</v>
      </c>
      <c r="S48" s="10">
        <v>816</v>
      </c>
      <c r="T48" s="10">
        <v>51</v>
      </c>
      <c r="U48" s="10">
        <v>0</v>
      </c>
      <c r="V48" s="10">
        <v>30</v>
      </c>
      <c r="W48" s="10">
        <v>0</v>
      </c>
      <c r="X48" s="10">
        <v>75</v>
      </c>
      <c r="Y48" s="10">
        <v>45701</v>
      </c>
      <c r="Z48" s="10">
        <v>3808</v>
      </c>
      <c r="AA48" s="10">
        <v>0</v>
      </c>
      <c r="AB48" s="10">
        <v>907</v>
      </c>
      <c r="AC48" s="10">
        <v>51</v>
      </c>
      <c r="AD48" s="10">
        <v>0</v>
      </c>
      <c r="AE48" s="10">
        <v>25</v>
      </c>
      <c r="AF48" s="10">
        <v>0</v>
      </c>
      <c r="AG48" s="19">
        <v>0</v>
      </c>
      <c r="AH48" s="20">
        <v>611</v>
      </c>
      <c r="AI48" s="20">
        <v>50</v>
      </c>
      <c r="AJ48" s="21">
        <v>127</v>
      </c>
      <c r="AK48" s="10">
        <v>0</v>
      </c>
      <c r="AL48" s="10">
        <v>24</v>
      </c>
      <c r="AM48" s="10">
        <v>0</v>
      </c>
      <c r="AN48" s="10">
        <v>0</v>
      </c>
      <c r="AO48" s="10">
        <v>0</v>
      </c>
    </row>
    <row r="49" spans="1:41" ht="15" x14ac:dyDescent="0.25">
      <c r="A49" s="9" t="s">
        <v>21</v>
      </c>
      <c r="B49" s="10">
        <v>0</v>
      </c>
      <c r="C49" s="10">
        <v>0</v>
      </c>
      <c r="D49" s="10">
        <v>0</v>
      </c>
      <c r="E49" s="10">
        <v>37</v>
      </c>
      <c r="F49" s="10">
        <v>0</v>
      </c>
      <c r="G49" s="10">
        <v>0</v>
      </c>
      <c r="H49" s="2">
        <v>13.9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106</v>
      </c>
      <c r="AF49" s="10">
        <v>0</v>
      </c>
      <c r="AG49" s="19">
        <v>0</v>
      </c>
      <c r="AH49" s="20">
        <v>0</v>
      </c>
      <c r="AI49" s="20">
        <v>0</v>
      </c>
      <c r="AJ49" s="21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</row>
    <row r="50" spans="1:41" ht="15" x14ac:dyDescent="0.25">
      <c r="A50" s="11" t="s">
        <v>22</v>
      </c>
      <c r="B50" s="12">
        <v>0</v>
      </c>
      <c r="C50" s="17">
        <v>0</v>
      </c>
      <c r="D50" s="12">
        <v>40</v>
      </c>
      <c r="E50" s="12">
        <v>31</v>
      </c>
      <c r="F50" s="12">
        <v>0</v>
      </c>
      <c r="G50" s="12">
        <v>0</v>
      </c>
      <c r="H50" s="4">
        <v>13.9</v>
      </c>
      <c r="I50" s="12">
        <v>0</v>
      </c>
      <c r="J50" s="12">
        <v>10</v>
      </c>
      <c r="K50" s="12">
        <v>0.2</v>
      </c>
      <c r="L50" s="12">
        <v>0</v>
      </c>
      <c r="M50" s="12">
        <v>106</v>
      </c>
      <c r="N50" s="12">
        <v>0</v>
      </c>
      <c r="O50" s="12">
        <v>0</v>
      </c>
      <c r="P50" s="10">
        <v>0</v>
      </c>
      <c r="Q50" s="10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27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22">
        <v>0</v>
      </c>
      <c r="AH50" s="20">
        <v>0</v>
      </c>
      <c r="AI50" s="20">
        <v>0</v>
      </c>
      <c r="AJ50" s="23">
        <v>27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</row>
    <row r="51" spans="1:41" ht="15" x14ac:dyDescent="0.25">
      <c r="A51" s="13" t="s">
        <v>23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2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24">
        <v>0</v>
      </c>
      <c r="AI51" s="24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5">
        <v>0</v>
      </c>
    </row>
    <row r="52" spans="1:41" ht="15" x14ac:dyDescent="0.25">
      <c r="A52" s="14" t="s">
        <v>24</v>
      </c>
      <c r="B52" s="10">
        <f t="shared" ref="B52:L52" si="10">SUM(B48+B49-B50-B51)</f>
        <v>0</v>
      </c>
      <c r="C52" s="10">
        <f t="shared" si="10"/>
        <v>0</v>
      </c>
      <c r="D52" s="10">
        <f t="shared" si="10"/>
        <v>50</v>
      </c>
      <c r="E52" s="10">
        <f t="shared" si="10"/>
        <v>6</v>
      </c>
      <c r="F52" s="10">
        <f t="shared" si="10"/>
        <v>350</v>
      </c>
      <c r="G52" s="10">
        <f t="shared" si="10"/>
        <v>35</v>
      </c>
      <c r="H52" s="2">
        <f t="shared" si="10"/>
        <v>0</v>
      </c>
      <c r="I52" s="10">
        <f t="shared" si="10"/>
        <v>410</v>
      </c>
      <c r="J52" s="10">
        <f t="shared" si="10"/>
        <v>2</v>
      </c>
      <c r="K52" s="10">
        <f t="shared" si="10"/>
        <v>69.849000000000004</v>
      </c>
      <c r="L52" s="10">
        <f t="shared" si="10"/>
        <v>0</v>
      </c>
      <c r="M52" s="10">
        <f>SUM(M48+M49+M50+M51)</f>
        <v>171</v>
      </c>
      <c r="N52" s="10">
        <f>SUM(N48+N49-N50-N51)</f>
        <v>0</v>
      </c>
      <c r="O52" s="10">
        <f>SUM(O48+O49-O50-O51)</f>
        <v>87</v>
      </c>
      <c r="P52" s="10">
        <f>SUM(P48+P49+P50+P51)</f>
        <v>46504</v>
      </c>
      <c r="Q52" s="10">
        <f>SUM(Q48-Q49+Q50+Q51)</f>
        <v>3875</v>
      </c>
      <c r="R52" s="10">
        <f>SUM(R48+R49+R50+R51)</f>
        <v>152</v>
      </c>
      <c r="S52" s="10">
        <f>SUM(S48-S49+S50+S51)</f>
        <v>816</v>
      </c>
      <c r="T52" s="10">
        <f>SUM(T48+T49+T50+T51)</f>
        <v>51</v>
      </c>
      <c r="U52" s="10">
        <f>SUM(U48+U49-U50-U51)</f>
        <v>0</v>
      </c>
      <c r="V52" s="10">
        <f>SUM(V48+V49-V50-V51)</f>
        <v>30</v>
      </c>
      <c r="W52" s="10">
        <f>SUM(W48+W49-W50-W51)</f>
        <v>0</v>
      </c>
      <c r="X52" s="10">
        <f>SUM(X48+X49-X50-X51)</f>
        <v>75</v>
      </c>
      <c r="Y52" s="10">
        <f>SUM(Y48+Y49+Y50+Y51)</f>
        <v>45701</v>
      </c>
      <c r="Z52" s="10">
        <f>SUM(Z48+Z49+Z50+Z51)</f>
        <v>3808</v>
      </c>
      <c r="AA52" s="10">
        <f>SUM(AA48+AA49+AA50+AA51)</f>
        <v>27</v>
      </c>
      <c r="AB52" s="10">
        <f>SUM(AB48-AB49+AB50+AB51)</f>
        <v>907</v>
      </c>
      <c r="AC52" s="10">
        <f t="shared" ref="AC52:AL52" si="11">SUM(AC48+AC49-AC50-AC51)</f>
        <v>51</v>
      </c>
      <c r="AD52" s="10">
        <f t="shared" si="11"/>
        <v>0</v>
      </c>
      <c r="AE52" s="10">
        <f t="shared" si="11"/>
        <v>131</v>
      </c>
      <c r="AF52" s="10">
        <f t="shared" si="11"/>
        <v>0</v>
      </c>
      <c r="AG52" s="10">
        <f t="shared" si="11"/>
        <v>0</v>
      </c>
      <c r="AH52" s="10">
        <f t="shared" si="11"/>
        <v>611</v>
      </c>
      <c r="AI52" s="10">
        <f t="shared" si="11"/>
        <v>50</v>
      </c>
      <c r="AJ52" s="10">
        <f t="shared" si="11"/>
        <v>100</v>
      </c>
      <c r="AK52" s="10">
        <f t="shared" si="11"/>
        <v>0</v>
      </c>
      <c r="AL52" s="10">
        <f t="shared" si="11"/>
        <v>24</v>
      </c>
      <c r="AM52" s="10">
        <f>SUM(AM48-AM49+AM50+AM51)</f>
        <v>0</v>
      </c>
      <c r="AN52" s="10">
        <f>SUM(AN48-AN49+AN50+AN51)</f>
        <v>0</v>
      </c>
      <c r="AO52" s="10">
        <f>SUM(AO48-AO49+AO50+AO51)</f>
        <v>0</v>
      </c>
    </row>
    <row r="55" spans="1:41" ht="18.75" x14ac:dyDescent="0.3">
      <c r="A55" s="16" t="s">
        <v>42</v>
      </c>
      <c r="B55" s="27" t="s">
        <v>26</v>
      </c>
      <c r="C55" s="27"/>
      <c r="D55" s="27"/>
      <c r="E55" s="27"/>
      <c r="F55" s="27"/>
      <c r="G55" s="27"/>
      <c r="H55" s="27"/>
      <c r="I55" s="27"/>
      <c r="J55" s="27"/>
      <c r="K55" s="27"/>
      <c r="L55" s="27" t="s">
        <v>29</v>
      </c>
      <c r="M55" s="27"/>
      <c r="N55" s="27"/>
      <c r="O55" s="27"/>
      <c r="P55" s="27"/>
      <c r="Q55" s="27"/>
      <c r="R55" s="27"/>
      <c r="S55" s="27"/>
      <c r="T55" s="27"/>
      <c r="U55" s="27" t="s">
        <v>28</v>
      </c>
      <c r="V55" s="27"/>
      <c r="W55" s="27"/>
      <c r="X55" s="27"/>
      <c r="Y55" s="27"/>
      <c r="Z55" s="27"/>
      <c r="AA55" s="27"/>
      <c r="AB55" s="27"/>
      <c r="AC55" s="27"/>
      <c r="AD55" s="27" t="s">
        <v>27</v>
      </c>
      <c r="AE55" s="27"/>
      <c r="AF55" s="27"/>
      <c r="AG55" s="27"/>
      <c r="AH55" s="27"/>
      <c r="AI55" s="27"/>
      <c r="AJ55" s="27"/>
      <c r="AK55" s="27"/>
      <c r="AL55" s="27"/>
      <c r="AM55" s="27" t="s">
        <v>25</v>
      </c>
      <c r="AN55" s="27"/>
      <c r="AO55" s="27"/>
    </row>
    <row r="56" spans="1:41" ht="15" x14ac:dyDescent="0.25">
      <c r="A56" s="5" t="s">
        <v>74</v>
      </c>
      <c r="B56" s="1" t="s">
        <v>0</v>
      </c>
      <c r="C56" s="1" t="s">
        <v>1</v>
      </c>
      <c r="D56" s="1" t="s">
        <v>2</v>
      </c>
      <c r="E56" s="1" t="s">
        <v>3</v>
      </c>
      <c r="F56" s="1" t="s">
        <v>4</v>
      </c>
      <c r="G56" s="1" t="s">
        <v>5</v>
      </c>
      <c r="H56" s="1" t="s">
        <v>33</v>
      </c>
      <c r="I56" s="1" t="s">
        <v>6</v>
      </c>
      <c r="J56" s="1" t="s">
        <v>7</v>
      </c>
      <c r="K56" s="1" t="s">
        <v>8</v>
      </c>
      <c r="L56" s="1" t="s">
        <v>9</v>
      </c>
      <c r="M56" s="1" t="s">
        <v>30</v>
      </c>
      <c r="N56" s="1" t="s">
        <v>10</v>
      </c>
      <c r="O56" s="1" t="s">
        <v>11</v>
      </c>
      <c r="P56" s="1" t="s">
        <v>32</v>
      </c>
      <c r="Q56" s="1" t="s">
        <v>37</v>
      </c>
      <c r="R56" s="1" t="s">
        <v>31</v>
      </c>
      <c r="S56" s="6" t="s">
        <v>12</v>
      </c>
      <c r="T56" s="6" t="s">
        <v>13</v>
      </c>
      <c r="U56" s="6" t="s">
        <v>14</v>
      </c>
      <c r="V56" s="1" t="s">
        <v>30</v>
      </c>
      <c r="W56" s="6" t="s">
        <v>10</v>
      </c>
      <c r="X56" s="6" t="s">
        <v>15</v>
      </c>
      <c r="Y56" s="1" t="s">
        <v>32</v>
      </c>
      <c r="Z56" s="1" t="s">
        <v>37</v>
      </c>
      <c r="AA56" s="1" t="s">
        <v>31</v>
      </c>
      <c r="AB56" s="1" t="s">
        <v>12</v>
      </c>
      <c r="AC56" s="1" t="s">
        <v>13</v>
      </c>
      <c r="AD56" s="1" t="s">
        <v>9</v>
      </c>
      <c r="AE56" s="1" t="s">
        <v>30</v>
      </c>
      <c r="AF56" s="1" t="s">
        <v>10</v>
      </c>
      <c r="AG56" s="1" t="s">
        <v>11</v>
      </c>
      <c r="AH56" s="18" t="s">
        <v>32</v>
      </c>
      <c r="AI56" s="18" t="s">
        <v>37</v>
      </c>
      <c r="AJ56" s="1" t="s">
        <v>44</v>
      </c>
      <c r="AK56" s="7" t="s">
        <v>16</v>
      </c>
      <c r="AL56" s="8" t="s">
        <v>13</v>
      </c>
      <c r="AM56" s="1" t="s">
        <v>17</v>
      </c>
      <c r="AN56" s="8" t="s">
        <v>18</v>
      </c>
      <c r="AO56" s="8" t="s">
        <v>19</v>
      </c>
    </row>
    <row r="57" spans="1:41" ht="15" x14ac:dyDescent="0.25">
      <c r="A57" s="9" t="s">
        <v>20</v>
      </c>
      <c r="B57" s="10">
        <v>0</v>
      </c>
      <c r="C57" s="10">
        <v>0</v>
      </c>
      <c r="D57" s="10">
        <v>45</v>
      </c>
      <c r="E57" s="10">
        <v>6</v>
      </c>
      <c r="F57" s="10">
        <v>350</v>
      </c>
      <c r="G57" s="10">
        <v>35</v>
      </c>
      <c r="H57" s="3">
        <v>0</v>
      </c>
      <c r="I57" s="10">
        <v>410</v>
      </c>
      <c r="J57" s="10">
        <v>2</v>
      </c>
      <c r="K57" s="10">
        <v>69.849000000000004</v>
      </c>
      <c r="L57" s="10">
        <v>0</v>
      </c>
      <c r="M57" s="10">
        <v>171</v>
      </c>
      <c r="N57" s="10">
        <v>0</v>
      </c>
      <c r="O57" s="10">
        <v>87</v>
      </c>
      <c r="P57" s="10">
        <v>46504</v>
      </c>
      <c r="Q57" s="10">
        <v>3875</v>
      </c>
      <c r="R57" s="10">
        <v>152</v>
      </c>
      <c r="S57" s="10">
        <v>816</v>
      </c>
      <c r="T57" s="10">
        <v>51</v>
      </c>
      <c r="U57" s="10">
        <v>0</v>
      </c>
      <c r="V57" s="10">
        <v>30</v>
      </c>
      <c r="W57" s="10">
        <v>0</v>
      </c>
      <c r="X57" s="10">
        <v>75</v>
      </c>
      <c r="Y57" s="10">
        <v>45701</v>
      </c>
      <c r="Z57" s="10">
        <v>3808</v>
      </c>
      <c r="AA57" s="10">
        <v>27</v>
      </c>
      <c r="AB57" s="10">
        <v>907</v>
      </c>
      <c r="AC57" s="10">
        <v>51</v>
      </c>
      <c r="AD57" s="10">
        <v>0</v>
      </c>
      <c r="AE57" s="10">
        <v>131</v>
      </c>
      <c r="AF57" s="10">
        <v>0</v>
      </c>
      <c r="AG57" s="19">
        <v>0</v>
      </c>
      <c r="AH57" s="20">
        <v>611</v>
      </c>
      <c r="AI57" s="20">
        <v>50</v>
      </c>
      <c r="AJ57" s="21">
        <v>100</v>
      </c>
      <c r="AK57" s="10">
        <v>0</v>
      </c>
      <c r="AL57" s="10">
        <v>24</v>
      </c>
      <c r="AM57" s="10">
        <v>0</v>
      </c>
      <c r="AN57" s="10">
        <v>0</v>
      </c>
      <c r="AO57" s="10">
        <v>0</v>
      </c>
    </row>
    <row r="58" spans="1:41" ht="15" x14ac:dyDescent="0.25">
      <c r="A58" s="9" t="s">
        <v>21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2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2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9">
        <v>0</v>
      </c>
      <c r="AH58" s="20">
        <v>0</v>
      </c>
      <c r="AI58" s="20">
        <v>0</v>
      </c>
      <c r="AJ58" s="21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</row>
    <row r="59" spans="1:41" ht="15" x14ac:dyDescent="0.25">
      <c r="A59" s="11" t="s">
        <v>22</v>
      </c>
      <c r="B59" s="12">
        <v>0</v>
      </c>
      <c r="C59" s="17">
        <v>0</v>
      </c>
      <c r="D59" s="12">
        <v>0</v>
      </c>
      <c r="E59" s="12">
        <v>0</v>
      </c>
      <c r="F59" s="12">
        <v>0</v>
      </c>
      <c r="G59" s="12">
        <v>0</v>
      </c>
      <c r="H59" s="4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0">
        <v>0</v>
      </c>
      <c r="Q59" s="10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2</v>
      </c>
      <c r="AF59" s="12">
        <v>0</v>
      </c>
      <c r="AG59" s="22">
        <v>0</v>
      </c>
      <c r="AH59" s="20">
        <v>0</v>
      </c>
      <c r="AI59" s="20">
        <v>0</v>
      </c>
      <c r="AJ59" s="23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40</v>
      </c>
    </row>
    <row r="60" spans="1:41" ht="15" x14ac:dyDescent="0.25">
      <c r="A60" s="13" t="s">
        <v>23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2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24">
        <v>0</v>
      </c>
      <c r="AI60" s="24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5">
        <v>0</v>
      </c>
    </row>
    <row r="61" spans="1:41" ht="15" x14ac:dyDescent="0.25">
      <c r="A61" s="14" t="s">
        <v>24</v>
      </c>
      <c r="B61" s="10">
        <f t="shared" ref="B61:L61" si="12">SUM(B57+B58-B59-B60)</f>
        <v>0</v>
      </c>
      <c r="C61" s="10">
        <f t="shared" si="12"/>
        <v>0</v>
      </c>
      <c r="D61" s="10">
        <f t="shared" si="12"/>
        <v>45</v>
      </c>
      <c r="E61" s="10">
        <f t="shared" si="12"/>
        <v>6</v>
      </c>
      <c r="F61" s="10">
        <f t="shared" si="12"/>
        <v>350</v>
      </c>
      <c r="G61" s="10">
        <f t="shared" si="12"/>
        <v>35</v>
      </c>
      <c r="H61" s="2">
        <f t="shared" si="12"/>
        <v>0</v>
      </c>
      <c r="I61" s="10">
        <f t="shared" si="12"/>
        <v>410</v>
      </c>
      <c r="J61" s="10">
        <f t="shared" si="12"/>
        <v>2</v>
      </c>
      <c r="K61" s="10">
        <f t="shared" si="12"/>
        <v>69.849000000000004</v>
      </c>
      <c r="L61" s="10">
        <f t="shared" si="12"/>
        <v>0</v>
      </c>
      <c r="M61" s="10">
        <f>SUM(M57+M58+M59+M60)</f>
        <v>171</v>
      </c>
      <c r="N61" s="10">
        <f>SUM(N57+N58-N59-N60)</f>
        <v>0</v>
      </c>
      <c r="O61" s="10">
        <f>SUM(O57+O58-O59-O60)</f>
        <v>87</v>
      </c>
      <c r="P61" s="10">
        <f>SUM(P57+P58+P59+P60)</f>
        <v>46504</v>
      </c>
      <c r="Q61" s="10">
        <f>SUM(Q57-Q58+Q59+Q60)</f>
        <v>3875</v>
      </c>
      <c r="R61" s="10">
        <f>SUM(R57+R58+R59+R60)</f>
        <v>152</v>
      </c>
      <c r="S61" s="10">
        <f>SUM(S57-S58+S59+S60)</f>
        <v>816</v>
      </c>
      <c r="T61" s="10">
        <f>SUM(T57+T58+T59+T60)</f>
        <v>51</v>
      </c>
      <c r="U61" s="10">
        <f>SUM(U57+U58-U59-U60)</f>
        <v>0</v>
      </c>
      <c r="V61" s="10">
        <f>SUM(V57+V58-V59-V60)</f>
        <v>32</v>
      </c>
      <c r="W61" s="10">
        <f>SUM(W57+W58-W59-W60)</f>
        <v>0</v>
      </c>
      <c r="X61" s="10">
        <f>SUM(X57+X58-X59-X60)</f>
        <v>75</v>
      </c>
      <c r="Y61" s="10">
        <f>SUM(Y57+Y58+Y59+Y60)</f>
        <v>45701</v>
      </c>
      <c r="Z61" s="10">
        <f>SUM(Z57+Z58+Z59+Z60)</f>
        <v>3808</v>
      </c>
      <c r="AA61" s="10">
        <f>SUM(AA57+AA58+AA59+AA60)</f>
        <v>27</v>
      </c>
      <c r="AB61" s="10">
        <f>SUM(AB57-AB58+AB59+AB60)</f>
        <v>907</v>
      </c>
      <c r="AC61" s="10">
        <f t="shared" ref="AC61:AL61" si="13">SUM(AC57+AC58-AC59-AC60)</f>
        <v>51</v>
      </c>
      <c r="AD61" s="10">
        <f t="shared" si="13"/>
        <v>0</v>
      </c>
      <c r="AE61" s="10">
        <f t="shared" si="13"/>
        <v>129</v>
      </c>
      <c r="AF61" s="10">
        <f t="shared" si="13"/>
        <v>0</v>
      </c>
      <c r="AG61" s="10">
        <f t="shared" si="13"/>
        <v>0</v>
      </c>
      <c r="AH61" s="10">
        <f t="shared" si="13"/>
        <v>611</v>
      </c>
      <c r="AI61" s="10">
        <f t="shared" si="13"/>
        <v>50</v>
      </c>
      <c r="AJ61" s="10">
        <f t="shared" si="13"/>
        <v>100</v>
      </c>
      <c r="AK61" s="10">
        <f t="shared" si="13"/>
        <v>0</v>
      </c>
      <c r="AL61" s="10">
        <f t="shared" si="13"/>
        <v>24</v>
      </c>
      <c r="AM61" s="10">
        <f>SUM(AM57-AM58+AM59+AM60)</f>
        <v>0</v>
      </c>
      <c r="AN61" s="10">
        <f>SUM(AN57-AN58+AN59+AN60)</f>
        <v>0</v>
      </c>
      <c r="AO61" s="10">
        <f>SUM(AO57-AO58+AO59+AO60)</f>
        <v>40</v>
      </c>
    </row>
    <row r="64" spans="1:41" ht="18.75" x14ac:dyDescent="0.3">
      <c r="A64" s="16" t="s">
        <v>43</v>
      </c>
      <c r="B64" s="27" t="s">
        <v>26</v>
      </c>
      <c r="C64" s="27"/>
      <c r="D64" s="27"/>
      <c r="E64" s="27"/>
      <c r="F64" s="27"/>
      <c r="G64" s="27"/>
      <c r="H64" s="27"/>
      <c r="I64" s="27"/>
      <c r="J64" s="27"/>
      <c r="K64" s="27"/>
      <c r="L64" s="27" t="s">
        <v>29</v>
      </c>
      <c r="M64" s="27"/>
      <c r="N64" s="27"/>
      <c r="O64" s="27"/>
      <c r="P64" s="27"/>
      <c r="Q64" s="27"/>
      <c r="R64" s="27"/>
      <c r="S64" s="27"/>
      <c r="T64" s="27"/>
      <c r="U64" s="27" t="s">
        <v>28</v>
      </c>
      <c r="V64" s="27"/>
      <c r="W64" s="27"/>
      <c r="X64" s="27"/>
      <c r="Y64" s="27"/>
      <c r="Z64" s="27"/>
      <c r="AA64" s="27"/>
      <c r="AB64" s="27"/>
      <c r="AC64" s="27"/>
      <c r="AD64" s="27" t="s">
        <v>27</v>
      </c>
      <c r="AE64" s="27"/>
      <c r="AF64" s="27"/>
      <c r="AG64" s="27"/>
      <c r="AH64" s="27"/>
      <c r="AI64" s="27"/>
      <c r="AJ64" s="27"/>
      <c r="AK64" s="27"/>
      <c r="AL64" s="27"/>
      <c r="AM64" s="27" t="s">
        <v>25</v>
      </c>
      <c r="AN64" s="27"/>
      <c r="AO64" s="27"/>
    </row>
    <row r="65" spans="1:41" ht="15" x14ac:dyDescent="0.25">
      <c r="A65" s="5" t="s">
        <v>74</v>
      </c>
      <c r="B65" s="1" t="s">
        <v>0</v>
      </c>
      <c r="C65" s="1" t="s">
        <v>1</v>
      </c>
      <c r="D65" s="1" t="s">
        <v>2</v>
      </c>
      <c r="E65" s="1" t="s">
        <v>3</v>
      </c>
      <c r="F65" s="1" t="s">
        <v>4</v>
      </c>
      <c r="G65" s="1" t="s">
        <v>5</v>
      </c>
      <c r="H65" s="1" t="s">
        <v>33</v>
      </c>
      <c r="I65" s="1" t="s">
        <v>6</v>
      </c>
      <c r="J65" s="1" t="s">
        <v>7</v>
      </c>
      <c r="K65" s="1" t="s">
        <v>8</v>
      </c>
      <c r="L65" s="1" t="s">
        <v>9</v>
      </c>
      <c r="M65" s="1" t="s">
        <v>30</v>
      </c>
      <c r="N65" s="1" t="s">
        <v>10</v>
      </c>
      <c r="O65" s="1" t="s">
        <v>11</v>
      </c>
      <c r="P65" s="1" t="s">
        <v>32</v>
      </c>
      <c r="Q65" s="1" t="s">
        <v>37</v>
      </c>
      <c r="R65" s="1" t="s">
        <v>31</v>
      </c>
      <c r="S65" s="6" t="s">
        <v>12</v>
      </c>
      <c r="T65" s="6" t="s">
        <v>13</v>
      </c>
      <c r="U65" s="6" t="s">
        <v>14</v>
      </c>
      <c r="V65" s="1" t="s">
        <v>30</v>
      </c>
      <c r="W65" s="6" t="s">
        <v>10</v>
      </c>
      <c r="X65" s="6" t="s">
        <v>15</v>
      </c>
      <c r="Y65" s="1" t="s">
        <v>32</v>
      </c>
      <c r="Z65" s="1" t="s">
        <v>37</v>
      </c>
      <c r="AA65" s="1" t="s">
        <v>31</v>
      </c>
      <c r="AB65" s="1" t="s">
        <v>12</v>
      </c>
      <c r="AC65" s="1" t="s">
        <v>13</v>
      </c>
      <c r="AD65" s="1" t="s">
        <v>9</v>
      </c>
      <c r="AE65" s="1" t="s">
        <v>30</v>
      </c>
      <c r="AF65" s="1" t="s">
        <v>10</v>
      </c>
      <c r="AG65" s="1" t="s">
        <v>11</v>
      </c>
      <c r="AH65" s="18" t="s">
        <v>32</v>
      </c>
      <c r="AI65" s="18" t="s">
        <v>37</v>
      </c>
      <c r="AJ65" s="1" t="s">
        <v>44</v>
      </c>
      <c r="AK65" s="7" t="s">
        <v>16</v>
      </c>
      <c r="AL65" s="8" t="s">
        <v>13</v>
      </c>
      <c r="AM65" s="1" t="s">
        <v>17</v>
      </c>
      <c r="AN65" s="8" t="s">
        <v>18</v>
      </c>
      <c r="AO65" s="8" t="s">
        <v>19</v>
      </c>
    </row>
    <row r="66" spans="1:41" ht="15" x14ac:dyDescent="0.25">
      <c r="A66" s="9" t="s">
        <v>20</v>
      </c>
      <c r="B66" s="10">
        <v>0</v>
      </c>
      <c r="C66" s="10">
        <v>0</v>
      </c>
      <c r="D66" s="10">
        <v>45</v>
      </c>
      <c r="E66" s="10">
        <v>6</v>
      </c>
      <c r="F66" s="10">
        <v>350</v>
      </c>
      <c r="G66" s="10">
        <v>35</v>
      </c>
      <c r="H66" s="3">
        <v>0</v>
      </c>
      <c r="I66" s="25">
        <v>410</v>
      </c>
      <c r="J66" s="10">
        <v>2</v>
      </c>
      <c r="K66" s="10">
        <v>69.849000000000004</v>
      </c>
      <c r="L66" s="10">
        <v>0</v>
      </c>
      <c r="M66" s="10">
        <v>171</v>
      </c>
      <c r="N66" s="10">
        <v>0</v>
      </c>
      <c r="O66" s="10">
        <v>87</v>
      </c>
      <c r="P66" s="10">
        <v>46504</v>
      </c>
      <c r="Q66" s="10">
        <v>3875</v>
      </c>
      <c r="R66" s="10">
        <v>152</v>
      </c>
      <c r="S66" s="10">
        <v>816</v>
      </c>
      <c r="T66" s="10">
        <v>51</v>
      </c>
      <c r="U66" s="10">
        <v>0</v>
      </c>
      <c r="V66" s="10">
        <v>30</v>
      </c>
      <c r="W66" s="10">
        <v>0</v>
      </c>
      <c r="X66" s="10">
        <v>75</v>
      </c>
      <c r="Y66" s="10">
        <v>45701</v>
      </c>
      <c r="Z66" s="10">
        <v>3808</v>
      </c>
      <c r="AA66" s="10">
        <v>27</v>
      </c>
      <c r="AB66" s="10">
        <v>907</v>
      </c>
      <c r="AC66" s="10">
        <v>51</v>
      </c>
      <c r="AD66" s="10">
        <v>0</v>
      </c>
      <c r="AE66" s="10">
        <v>129</v>
      </c>
      <c r="AF66" s="10">
        <v>0</v>
      </c>
      <c r="AG66" s="19">
        <v>0</v>
      </c>
      <c r="AH66" s="20">
        <v>611</v>
      </c>
      <c r="AI66" s="20">
        <v>50</v>
      </c>
      <c r="AJ66" s="21">
        <v>100</v>
      </c>
      <c r="AK66" s="10">
        <v>0</v>
      </c>
      <c r="AL66" s="10">
        <v>24</v>
      </c>
      <c r="AM66" s="10">
        <v>0</v>
      </c>
      <c r="AN66" s="10">
        <v>0</v>
      </c>
      <c r="AO66" s="10">
        <v>40</v>
      </c>
    </row>
    <row r="67" spans="1:41" ht="15" x14ac:dyDescent="0.25">
      <c r="A67" s="9" t="s">
        <v>21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2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2</v>
      </c>
      <c r="W67" s="10">
        <v>0</v>
      </c>
      <c r="X67" s="10">
        <v>0</v>
      </c>
      <c r="Y67" s="10">
        <v>600</v>
      </c>
      <c r="Z67" s="10">
        <v>50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9">
        <v>0</v>
      </c>
      <c r="AH67" s="20">
        <v>0</v>
      </c>
      <c r="AI67" s="20">
        <v>0</v>
      </c>
      <c r="AJ67" s="21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</row>
    <row r="68" spans="1:41" ht="15" x14ac:dyDescent="0.25">
      <c r="A68" s="11" t="s">
        <v>22</v>
      </c>
      <c r="B68" s="12">
        <v>0</v>
      </c>
      <c r="C68" s="17">
        <v>0</v>
      </c>
      <c r="D68" s="12">
        <v>0</v>
      </c>
      <c r="E68" s="12">
        <v>0</v>
      </c>
      <c r="F68" s="12">
        <v>0</v>
      </c>
      <c r="G68" s="12">
        <v>0</v>
      </c>
      <c r="H68" s="4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0">
        <v>0</v>
      </c>
      <c r="Q68" s="10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22">
        <v>0</v>
      </c>
      <c r="AH68" s="20">
        <v>611</v>
      </c>
      <c r="AI68" s="20">
        <v>50</v>
      </c>
      <c r="AJ68" s="23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</row>
    <row r="69" spans="1:41" ht="15" x14ac:dyDescent="0.25">
      <c r="A69" s="13" t="s">
        <v>23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2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24">
        <v>0</v>
      </c>
      <c r="AI69" s="24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5">
        <v>0</v>
      </c>
    </row>
    <row r="70" spans="1:41" ht="15" x14ac:dyDescent="0.25">
      <c r="A70" s="14" t="s">
        <v>24</v>
      </c>
      <c r="B70" s="10">
        <f t="shared" ref="B70:L70" si="14">SUM(B66+B67-B68-B69)</f>
        <v>0</v>
      </c>
      <c r="C70" s="10">
        <f t="shared" si="14"/>
        <v>0</v>
      </c>
      <c r="D70" s="10">
        <f t="shared" si="14"/>
        <v>45</v>
      </c>
      <c r="E70" s="10">
        <f t="shared" si="14"/>
        <v>6</v>
      </c>
      <c r="F70" s="10">
        <f t="shared" si="14"/>
        <v>350</v>
      </c>
      <c r="G70" s="10">
        <f t="shared" si="14"/>
        <v>35</v>
      </c>
      <c r="H70" s="2">
        <f t="shared" si="14"/>
        <v>0</v>
      </c>
      <c r="I70" s="10">
        <f t="shared" si="14"/>
        <v>410</v>
      </c>
      <c r="J70" s="10">
        <f t="shared" si="14"/>
        <v>2</v>
      </c>
      <c r="K70" s="10">
        <f t="shared" si="14"/>
        <v>69.849000000000004</v>
      </c>
      <c r="L70" s="10">
        <f t="shared" si="14"/>
        <v>0</v>
      </c>
      <c r="M70" s="10">
        <f>SUM(M66+M67+M68+M69)</f>
        <v>171</v>
      </c>
      <c r="N70" s="10">
        <f>SUM(N66+N67-N68-N69)</f>
        <v>0</v>
      </c>
      <c r="O70" s="10">
        <f>SUM(O66+O67-O68-O69)</f>
        <v>87</v>
      </c>
      <c r="P70" s="10">
        <f>SUM(P66+P67+P68+P69)</f>
        <v>46504</v>
      </c>
      <c r="Q70" s="10">
        <f>SUM(Q66-Q67+Q68+Q69)</f>
        <v>3875</v>
      </c>
      <c r="R70" s="10">
        <f>SUM(R66+R67+R68+R69)</f>
        <v>152</v>
      </c>
      <c r="S70" s="10">
        <f>SUM(S66-S67+S68+S69)</f>
        <v>816</v>
      </c>
      <c r="T70" s="10">
        <f>SUM(T66+T67+T68+T69)</f>
        <v>51</v>
      </c>
      <c r="U70" s="10">
        <f>SUM(U66+U67-U68-U69)</f>
        <v>0</v>
      </c>
      <c r="V70" s="10">
        <f>SUM(V66+V67-V68-V69)</f>
        <v>32</v>
      </c>
      <c r="W70" s="10">
        <f>SUM(W66+W67-W68-W69)</f>
        <v>0</v>
      </c>
      <c r="X70" s="10">
        <f>SUM(X66+X67-X68-X69)</f>
        <v>75</v>
      </c>
      <c r="Y70" s="10">
        <f>SUM(Y66+Y67+Y68+Y69)</f>
        <v>46301</v>
      </c>
      <c r="Z70" s="10">
        <f>SUM(Z66+Z67+Z68+Z69)</f>
        <v>3858</v>
      </c>
      <c r="AA70" s="10">
        <f>SUM(AA66+AA67+AA68+AA69)</f>
        <v>27</v>
      </c>
      <c r="AB70" s="10">
        <f>SUM(AB66-AB67+AB68+AB69)</f>
        <v>907</v>
      </c>
      <c r="AC70" s="10">
        <f t="shared" ref="AC70:AL70" si="15">SUM(AC66+AC67-AC68-AC69)</f>
        <v>51</v>
      </c>
      <c r="AD70" s="10">
        <f t="shared" si="15"/>
        <v>0</v>
      </c>
      <c r="AE70" s="10">
        <f t="shared" si="15"/>
        <v>129</v>
      </c>
      <c r="AF70" s="10">
        <f t="shared" si="15"/>
        <v>0</v>
      </c>
      <c r="AG70" s="10">
        <f t="shared" si="15"/>
        <v>0</v>
      </c>
      <c r="AH70" s="10">
        <f t="shared" si="15"/>
        <v>0</v>
      </c>
      <c r="AI70" s="10">
        <f t="shared" si="15"/>
        <v>0</v>
      </c>
      <c r="AJ70" s="10">
        <f t="shared" si="15"/>
        <v>100</v>
      </c>
      <c r="AK70" s="10">
        <f t="shared" si="15"/>
        <v>0</v>
      </c>
      <c r="AL70" s="10">
        <f t="shared" si="15"/>
        <v>24</v>
      </c>
      <c r="AM70" s="10">
        <f>SUM(AM66-AM67+AM68+AM69)</f>
        <v>0</v>
      </c>
      <c r="AN70" s="10">
        <f>SUM(AN66-AN67+AN68+AN69)</f>
        <v>0</v>
      </c>
      <c r="AO70" s="10">
        <f>SUM(AO66-AO67+AO68+AO69)</f>
        <v>40</v>
      </c>
    </row>
    <row r="73" spans="1:41" ht="18.75" x14ac:dyDescent="0.3">
      <c r="A73" s="16" t="s">
        <v>45</v>
      </c>
      <c r="B73" s="27" t="s">
        <v>26</v>
      </c>
      <c r="C73" s="27"/>
      <c r="D73" s="27"/>
      <c r="E73" s="27"/>
      <c r="F73" s="27"/>
      <c r="G73" s="27"/>
      <c r="H73" s="27"/>
      <c r="I73" s="27"/>
      <c r="J73" s="27"/>
      <c r="K73" s="27"/>
      <c r="L73" s="27" t="s">
        <v>29</v>
      </c>
      <c r="M73" s="27"/>
      <c r="N73" s="27"/>
      <c r="O73" s="27"/>
      <c r="P73" s="27"/>
      <c r="Q73" s="27"/>
      <c r="R73" s="27"/>
      <c r="S73" s="27"/>
      <c r="T73" s="27"/>
      <c r="U73" s="27" t="s">
        <v>28</v>
      </c>
      <c r="V73" s="27"/>
      <c r="W73" s="27"/>
      <c r="X73" s="27"/>
      <c r="Y73" s="27"/>
      <c r="Z73" s="27"/>
      <c r="AA73" s="27"/>
      <c r="AB73" s="27"/>
      <c r="AC73" s="27"/>
      <c r="AD73" s="27" t="s">
        <v>27</v>
      </c>
      <c r="AE73" s="27"/>
      <c r="AF73" s="27"/>
      <c r="AG73" s="27"/>
      <c r="AH73" s="27"/>
      <c r="AI73" s="27"/>
      <c r="AJ73" s="27"/>
      <c r="AK73" s="27"/>
      <c r="AL73" s="27"/>
      <c r="AM73" s="27" t="s">
        <v>25</v>
      </c>
      <c r="AN73" s="27"/>
      <c r="AO73" s="27"/>
    </row>
    <row r="74" spans="1:41" ht="15" x14ac:dyDescent="0.25">
      <c r="A74" s="5" t="s">
        <v>74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4</v>
      </c>
      <c r="G74" s="1" t="s">
        <v>5</v>
      </c>
      <c r="H74" s="1" t="s">
        <v>33</v>
      </c>
      <c r="I74" s="1" t="s">
        <v>6</v>
      </c>
      <c r="J74" s="1" t="s">
        <v>7</v>
      </c>
      <c r="K74" s="1" t="s">
        <v>8</v>
      </c>
      <c r="L74" s="1" t="s">
        <v>9</v>
      </c>
      <c r="M74" s="1" t="s">
        <v>30</v>
      </c>
      <c r="N74" s="1" t="s">
        <v>10</v>
      </c>
      <c r="O74" s="1" t="s">
        <v>11</v>
      </c>
      <c r="P74" s="1" t="s">
        <v>32</v>
      </c>
      <c r="Q74" s="1" t="s">
        <v>37</v>
      </c>
      <c r="R74" s="1" t="s">
        <v>31</v>
      </c>
      <c r="S74" s="6" t="s">
        <v>12</v>
      </c>
      <c r="T74" s="6" t="s">
        <v>13</v>
      </c>
      <c r="U74" s="6" t="s">
        <v>14</v>
      </c>
      <c r="V74" s="1" t="s">
        <v>30</v>
      </c>
      <c r="W74" s="6" t="s">
        <v>10</v>
      </c>
      <c r="X74" s="6" t="s">
        <v>15</v>
      </c>
      <c r="Y74" s="1" t="s">
        <v>32</v>
      </c>
      <c r="Z74" s="1" t="s">
        <v>37</v>
      </c>
      <c r="AA74" s="1" t="s">
        <v>31</v>
      </c>
      <c r="AB74" s="1" t="s">
        <v>12</v>
      </c>
      <c r="AC74" s="1" t="s">
        <v>13</v>
      </c>
      <c r="AD74" s="1" t="s">
        <v>9</v>
      </c>
      <c r="AE74" s="1" t="s">
        <v>30</v>
      </c>
      <c r="AF74" s="1" t="s">
        <v>10</v>
      </c>
      <c r="AG74" s="1" t="s">
        <v>11</v>
      </c>
      <c r="AH74" s="18" t="s">
        <v>32</v>
      </c>
      <c r="AI74" s="18" t="s">
        <v>37</v>
      </c>
      <c r="AJ74" s="1" t="s">
        <v>44</v>
      </c>
      <c r="AK74" s="7" t="s">
        <v>16</v>
      </c>
      <c r="AL74" s="8" t="s">
        <v>13</v>
      </c>
      <c r="AM74" s="1" t="s">
        <v>17</v>
      </c>
      <c r="AN74" s="8" t="s">
        <v>49</v>
      </c>
      <c r="AO74" s="8" t="s">
        <v>19</v>
      </c>
    </row>
    <row r="75" spans="1:41" ht="15" x14ac:dyDescent="0.25">
      <c r="A75" s="9" t="s">
        <v>20</v>
      </c>
      <c r="B75" s="10">
        <v>0</v>
      </c>
      <c r="C75" s="10">
        <v>0</v>
      </c>
      <c r="D75" s="10">
        <v>45</v>
      </c>
      <c r="E75" s="10">
        <v>6</v>
      </c>
      <c r="F75" s="10">
        <v>350</v>
      </c>
      <c r="G75" s="10">
        <v>35</v>
      </c>
      <c r="H75" s="3">
        <v>0</v>
      </c>
      <c r="I75" s="25">
        <v>410</v>
      </c>
      <c r="J75" s="10">
        <v>2</v>
      </c>
      <c r="K75" s="10">
        <v>69.849000000000004</v>
      </c>
      <c r="L75" s="10">
        <v>0</v>
      </c>
      <c r="M75" s="10">
        <v>171</v>
      </c>
      <c r="N75" s="10">
        <v>0</v>
      </c>
      <c r="O75" s="10">
        <v>87</v>
      </c>
      <c r="P75" s="10">
        <v>46504</v>
      </c>
      <c r="Q75" s="10">
        <v>3875</v>
      </c>
      <c r="R75" s="10">
        <v>152</v>
      </c>
      <c r="S75" s="10">
        <v>816</v>
      </c>
      <c r="T75" s="10">
        <v>51</v>
      </c>
      <c r="U75" s="10">
        <v>0</v>
      </c>
      <c r="V75" s="10">
        <v>32</v>
      </c>
      <c r="W75" s="10">
        <v>0</v>
      </c>
      <c r="X75" s="10">
        <v>75</v>
      </c>
      <c r="Y75" s="10">
        <v>46301</v>
      </c>
      <c r="Z75" s="10">
        <v>3858</v>
      </c>
      <c r="AA75" s="10">
        <v>27</v>
      </c>
      <c r="AB75" s="10">
        <v>907</v>
      </c>
      <c r="AC75" s="10">
        <v>51</v>
      </c>
      <c r="AD75" s="10">
        <v>0</v>
      </c>
      <c r="AE75" s="10">
        <v>129</v>
      </c>
      <c r="AF75" s="10">
        <v>0</v>
      </c>
      <c r="AG75" s="19">
        <v>0</v>
      </c>
      <c r="AH75" s="20">
        <v>0</v>
      </c>
      <c r="AI75" s="20">
        <v>0</v>
      </c>
      <c r="AJ75" s="21">
        <v>100</v>
      </c>
      <c r="AK75" s="10">
        <v>0</v>
      </c>
      <c r="AL75" s="10">
        <v>24</v>
      </c>
      <c r="AM75" s="10">
        <v>0</v>
      </c>
      <c r="AN75" s="10">
        <v>0</v>
      </c>
      <c r="AO75" s="10">
        <v>40</v>
      </c>
    </row>
    <row r="76" spans="1:41" ht="15" x14ac:dyDescent="0.25">
      <c r="A76" s="9" t="s">
        <v>21</v>
      </c>
      <c r="B76" s="10">
        <v>33020</v>
      </c>
      <c r="C76" s="10">
        <f>SUM(6164-700-27)</f>
        <v>5437</v>
      </c>
      <c r="D76" s="10">
        <f>17200+SUM(11560)</f>
        <v>28760</v>
      </c>
      <c r="E76" s="10">
        <f>SUM(224*8+772)</f>
        <v>2564</v>
      </c>
      <c r="F76" s="10">
        <v>0</v>
      </c>
      <c r="G76" s="10">
        <v>0</v>
      </c>
      <c r="H76" s="2">
        <v>0</v>
      </c>
      <c r="I76" s="10">
        <v>0</v>
      </c>
      <c r="J76" s="10">
        <v>4000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9">
        <v>0</v>
      </c>
      <c r="AH76" s="20">
        <v>0</v>
      </c>
      <c r="AI76" s="20">
        <v>0</v>
      </c>
      <c r="AJ76" s="21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</row>
    <row r="77" spans="1:41" ht="15" x14ac:dyDescent="0.25">
      <c r="A77" s="11" t="s">
        <v>22</v>
      </c>
      <c r="B77" s="12">
        <v>0</v>
      </c>
      <c r="C77" s="17">
        <v>0</v>
      </c>
      <c r="D77" s="12">
        <v>0</v>
      </c>
      <c r="E77" s="12">
        <v>0</v>
      </c>
      <c r="F77" s="12">
        <v>0</v>
      </c>
      <c r="G77" s="12">
        <v>0</v>
      </c>
      <c r="H77" s="4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0">
        <v>0</v>
      </c>
      <c r="Q77" s="10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22">
        <v>0</v>
      </c>
      <c r="AH77" s="20">
        <v>0</v>
      </c>
      <c r="AI77" s="20">
        <v>0</v>
      </c>
      <c r="AJ77" s="23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</row>
    <row r="78" spans="1:41" ht="15" x14ac:dyDescent="0.25">
      <c r="A78" s="13" t="s">
        <v>46</v>
      </c>
      <c r="B78" s="10">
        <v>0</v>
      </c>
      <c r="C78" s="10">
        <v>0</v>
      </c>
      <c r="D78" s="10">
        <v>2039</v>
      </c>
      <c r="E78" s="10">
        <v>0</v>
      </c>
      <c r="F78" s="10">
        <v>0</v>
      </c>
      <c r="G78" s="10">
        <v>0</v>
      </c>
      <c r="H78" s="2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24">
        <v>0</v>
      </c>
      <c r="AI78" s="24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162</v>
      </c>
      <c r="AO78" s="15">
        <v>0</v>
      </c>
    </row>
    <row r="79" spans="1:41" ht="15" x14ac:dyDescent="0.25">
      <c r="A79" s="13" t="s">
        <v>47</v>
      </c>
      <c r="B79" s="10">
        <v>6164</v>
      </c>
      <c r="C79" s="10">
        <v>0</v>
      </c>
      <c r="D79" s="10">
        <v>800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700</v>
      </c>
      <c r="AN79" s="10">
        <v>27</v>
      </c>
      <c r="AO79" s="10">
        <v>0</v>
      </c>
    </row>
    <row r="80" spans="1:41" ht="15" x14ac:dyDescent="0.25">
      <c r="A80" s="14" t="s">
        <v>24</v>
      </c>
      <c r="B80" s="10">
        <f>SUM(B75+B76-B77-B78-B79)</f>
        <v>26856</v>
      </c>
      <c r="C80" s="10">
        <f>SUM(C75+C76-C77-C78-C79)</f>
        <v>5437</v>
      </c>
      <c r="D80" s="10">
        <f>SUM(D75+D76-D77-D78-D79)</f>
        <v>25966</v>
      </c>
      <c r="E80" s="10">
        <f t="shared" ref="E80:L80" si="16">SUM(E75+E76-E77-E78)</f>
        <v>2570</v>
      </c>
      <c r="F80" s="10">
        <f t="shared" si="16"/>
        <v>350</v>
      </c>
      <c r="G80" s="10">
        <f t="shared" si="16"/>
        <v>35</v>
      </c>
      <c r="H80" s="2">
        <f t="shared" si="16"/>
        <v>0</v>
      </c>
      <c r="I80" s="10">
        <f t="shared" si="16"/>
        <v>410</v>
      </c>
      <c r="J80" s="10">
        <f t="shared" si="16"/>
        <v>4002</v>
      </c>
      <c r="K80" s="10">
        <f t="shared" si="16"/>
        <v>69.849000000000004</v>
      </c>
      <c r="L80" s="10">
        <f t="shared" si="16"/>
        <v>0</v>
      </c>
      <c r="M80" s="10">
        <f>SUM(M75+M76+M77+M78)</f>
        <v>171</v>
      </c>
      <c r="N80" s="10">
        <f>SUM(N75+N76-N77-N78)</f>
        <v>0</v>
      </c>
      <c r="O80" s="10">
        <f>SUM(O75+O76-O77-O78)</f>
        <v>87</v>
      </c>
      <c r="P80" s="10">
        <f>SUM(P75+P76+P77+P78)</f>
        <v>46504</v>
      </c>
      <c r="Q80" s="10">
        <f>SUM(Q75-Q76+Q77+Q78)</f>
        <v>3875</v>
      </c>
      <c r="R80" s="10">
        <f>SUM(R75+R76+R77+R78)</f>
        <v>152</v>
      </c>
      <c r="S80" s="10">
        <f>SUM(S75-S76+S77+S78)</f>
        <v>816</v>
      </c>
      <c r="T80" s="10">
        <f>SUM(T75+T76+T77+T78)</f>
        <v>51</v>
      </c>
      <c r="U80" s="10">
        <f>SUM(U75+U76-U77-U78)</f>
        <v>0</v>
      </c>
      <c r="V80" s="10">
        <f>SUM(V75+V76-V77-V78)</f>
        <v>32</v>
      </c>
      <c r="W80" s="10">
        <f>SUM(W75+W76-W77-W78)</f>
        <v>0</v>
      </c>
      <c r="X80" s="10">
        <f>SUM(X75+X76-X77-X78)</f>
        <v>75</v>
      </c>
      <c r="Y80" s="10">
        <f>SUM(Y75+Y76+Y77+Y78)</f>
        <v>46301</v>
      </c>
      <c r="Z80" s="10">
        <f>SUM(Z75+Z76+Z77+Z78)</f>
        <v>3858</v>
      </c>
      <c r="AA80" s="10">
        <f>SUM(AA75+AA76+AA77+AA78)</f>
        <v>27</v>
      </c>
      <c r="AB80" s="10">
        <f>SUM(AB75-AB76+AB77+AB78)</f>
        <v>907</v>
      </c>
      <c r="AC80" s="10">
        <f t="shared" ref="AC80:AL80" si="17">SUM(AC75+AC76-AC77-AC78)</f>
        <v>51</v>
      </c>
      <c r="AD80" s="10">
        <f t="shared" si="17"/>
        <v>0</v>
      </c>
      <c r="AE80" s="10">
        <f t="shared" si="17"/>
        <v>129</v>
      </c>
      <c r="AF80" s="10">
        <f t="shared" si="17"/>
        <v>0</v>
      </c>
      <c r="AG80" s="10">
        <f t="shared" si="17"/>
        <v>0</v>
      </c>
      <c r="AH80" s="10">
        <f t="shared" si="17"/>
        <v>0</v>
      </c>
      <c r="AI80" s="10">
        <f t="shared" si="17"/>
        <v>0</v>
      </c>
      <c r="AJ80" s="10">
        <f t="shared" si="17"/>
        <v>100</v>
      </c>
      <c r="AK80" s="10">
        <f t="shared" si="17"/>
        <v>0</v>
      </c>
      <c r="AL80" s="10">
        <f t="shared" si="17"/>
        <v>24</v>
      </c>
      <c r="AM80" s="10">
        <f>SUM(AM75-AM76+AM77+AM78+AM79)</f>
        <v>700</v>
      </c>
      <c r="AN80" s="10">
        <f>SUM(AN75-AN76+AN77+AN78+AN79)</f>
        <v>189</v>
      </c>
      <c r="AO80" s="10">
        <f>SUM(AO75-AO76+AO77+AO78)</f>
        <v>40</v>
      </c>
    </row>
    <row r="83" spans="1:41" ht="18.75" x14ac:dyDescent="0.3">
      <c r="A83" s="16" t="s">
        <v>48</v>
      </c>
      <c r="B83" s="27" t="s">
        <v>26</v>
      </c>
      <c r="C83" s="27"/>
      <c r="D83" s="27"/>
      <c r="E83" s="27"/>
      <c r="F83" s="27"/>
      <c r="G83" s="27"/>
      <c r="H83" s="27"/>
      <c r="I83" s="27"/>
      <c r="J83" s="27"/>
      <c r="K83" s="27"/>
      <c r="L83" s="27" t="s">
        <v>29</v>
      </c>
      <c r="M83" s="27"/>
      <c r="N83" s="27"/>
      <c r="O83" s="27"/>
      <c r="P83" s="27"/>
      <c r="Q83" s="27"/>
      <c r="R83" s="27"/>
      <c r="S83" s="27"/>
      <c r="T83" s="27"/>
      <c r="U83" s="27" t="s">
        <v>28</v>
      </c>
      <c r="V83" s="27"/>
      <c r="W83" s="27"/>
      <c r="X83" s="27"/>
      <c r="Y83" s="27"/>
      <c r="Z83" s="27"/>
      <c r="AA83" s="27"/>
      <c r="AB83" s="27"/>
      <c r="AC83" s="27"/>
      <c r="AD83" s="27" t="s">
        <v>27</v>
      </c>
      <c r="AE83" s="27"/>
      <c r="AF83" s="27"/>
      <c r="AG83" s="27"/>
      <c r="AH83" s="27"/>
      <c r="AI83" s="27"/>
      <c r="AJ83" s="27"/>
      <c r="AK83" s="27"/>
      <c r="AL83" s="27"/>
      <c r="AM83" s="27" t="s">
        <v>25</v>
      </c>
      <c r="AN83" s="27"/>
      <c r="AO83" s="27"/>
    </row>
    <row r="84" spans="1:41" ht="15" x14ac:dyDescent="0.25">
      <c r="A84" s="5" t="s">
        <v>74</v>
      </c>
      <c r="B84" s="1" t="s">
        <v>0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  <c r="H84" s="1" t="s">
        <v>33</v>
      </c>
      <c r="I84" s="1" t="s">
        <v>6</v>
      </c>
      <c r="J84" s="1" t="s">
        <v>7</v>
      </c>
      <c r="K84" s="1" t="s">
        <v>8</v>
      </c>
      <c r="L84" s="1" t="s">
        <v>9</v>
      </c>
      <c r="M84" s="1" t="s">
        <v>30</v>
      </c>
      <c r="N84" s="1" t="s">
        <v>10</v>
      </c>
      <c r="O84" s="1" t="s">
        <v>11</v>
      </c>
      <c r="P84" s="1" t="s">
        <v>32</v>
      </c>
      <c r="Q84" s="1" t="s">
        <v>37</v>
      </c>
      <c r="R84" s="1" t="s">
        <v>31</v>
      </c>
      <c r="S84" s="6" t="s">
        <v>12</v>
      </c>
      <c r="T84" s="6" t="s">
        <v>13</v>
      </c>
      <c r="U84" s="6" t="s">
        <v>14</v>
      </c>
      <c r="V84" s="1" t="s">
        <v>30</v>
      </c>
      <c r="W84" s="6" t="s">
        <v>10</v>
      </c>
      <c r="X84" s="6" t="s">
        <v>15</v>
      </c>
      <c r="Y84" s="1" t="s">
        <v>32</v>
      </c>
      <c r="Z84" s="1" t="s">
        <v>37</v>
      </c>
      <c r="AA84" s="1" t="s">
        <v>31</v>
      </c>
      <c r="AB84" s="1" t="s">
        <v>12</v>
      </c>
      <c r="AC84" s="1" t="s">
        <v>13</v>
      </c>
      <c r="AD84" s="1" t="s">
        <v>9</v>
      </c>
      <c r="AE84" s="1" t="s">
        <v>30</v>
      </c>
      <c r="AF84" s="1" t="s">
        <v>10</v>
      </c>
      <c r="AG84" s="1" t="s">
        <v>11</v>
      </c>
      <c r="AH84" s="18" t="s">
        <v>32</v>
      </c>
      <c r="AI84" s="18" t="s">
        <v>37</v>
      </c>
      <c r="AJ84" s="1" t="s">
        <v>44</v>
      </c>
      <c r="AK84" s="7" t="s">
        <v>16</v>
      </c>
      <c r="AL84" s="8" t="s">
        <v>13</v>
      </c>
      <c r="AM84" s="1" t="s">
        <v>17</v>
      </c>
      <c r="AN84" s="8" t="s">
        <v>49</v>
      </c>
      <c r="AO84" s="8" t="s">
        <v>19</v>
      </c>
    </row>
    <row r="85" spans="1:41" ht="15" x14ac:dyDescent="0.25">
      <c r="A85" s="9" t="s">
        <v>20</v>
      </c>
      <c r="B85" s="10">
        <v>26856</v>
      </c>
      <c r="C85" s="10">
        <v>5437</v>
      </c>
      <c r="D85" s="10">
        <v>25966</v>
      </c>
      <c r="E85" s="10">
        <v>2570</v>
      </c>
      <c r="F85" s="10">
        <v>350</v>
      </c>
      <c r="G85" s="10">
        <v>35</v>
      </c>
      <c r="H85" s="3">
        <v>0</v>
      </c>
      <c r="I85" s="25">
        <v>410</v>
      </c>
      <c r="J85" s="10">
        <v>4002</v>
      </c>
      <c r="K85" s="10">
        <v>69.849000000000004</v>
      </c>
      <c r="L85" s="10">
        <v>0</v>
      </c>
      <c r="M85" s="10">
        <v>171</v>
      </c>
      <c r="N85" s="10">
        <v>0</v>
      </c>
      <c r="O85" s="10">
        <v>87</v>
      </c>
      <c r="P85" s="10">
        <v>46504</v>
      </c>
      <c r="Q85" s="10">
        <v>3875</v>
      </c>
      <c r="R85" s="10">
        <v>152</v>
      </c>
      <c r="S85" s="10">
        <v>816</v>
      </c>
      <c r="T85" s="10">
        <v>51</v>
      </c>
      <c r="U85" s="10">
        <v>0</v>
      </c>
      <c r="V85" s="10">
        <v>32</v>
      </c>
      <c r="W85" s="10">
        <v>0</v>
      </c>
      <c r="X85" s="10">
        <v>75</v>
      </c>
      <c r="Y85" s="10">
        <v>46301</v>
      </c>
      <c r="Z85" s="10">
        <v>3858</v>
      </c>
      <c r="AA85" s="10">
        <v>27</v>
      </c>
      <c r="AB85" s="10">
        <v>907</v>
      </c>
      <c r="AC85" s="10">
        <v>51</v>
      </c>
      <c r="AD85" s="10">
        <v>0</v>
      </c>
      <c r="AE85" s="10">
        <v>129</v>
      </c>
      <c r="AF85" s="10">
        <v>0</v>
      </c>
      <c r="AG85" s="19">
        <v>0</v>
      </c>
      <c r="AH85" s="20">
        <v>0</v>
      </c>
      <c r="AI85" s="20">
        <v>0</v>
      </c>
      <c r="AJ85" s="21">
        <v>100</v>
      </c>
      <c r="AK85" s="10">
        <v>0</v>
      </c>
      <c r="AL85" s="10">
        <v>24</v>
      </c>
      <c r="AM85" s="10">
        <v>700</v>
      </c>
      <c r="AN85" s="10">
        <v>189</v>
      </c>
      <c r="AO85" s="10">
        <v>40</v>
      </c>
    </row>
    <row r="86" spans="1:41" ht="15" x14ac:dyDescent="0.25">
      <c r="A86" s="9" t="s">
        <v>21</v>
      </c>
      <c r="B86" s="10">
        <v>0</v>
      </c>
      <c r="C86" s="10">
        <f>SUM(1288-246-25-2+2118+2667-34)</f>
        <v>5766</v>
      </c>
      <c r="D86" s="10">
        <v>0</v>
      </c>
      <c r="E86" s="10">
        <v>0</v>
      </c>
      <c r="F86" s="10">
        <v>0</v>
      </c>
      <c r="G86" s="10">
        <v>0</v>
      </c>
      <c r="H86" s="2">
        <v>0</v>
      </c>
      <c r="I86" s="10">
        <v>0</v>
      </c>
      <c r="J86" s="10">
        <v>11000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5125</v>
      </c>
      <c r="AE86" s="10">
        <v>0</v>
      </c>
      <c r="AF86" s="10">
        <v>0</v>
      </c>
      <c r="AG86" s="19">
        <v>0</v>
      </c>
      <c r="AH86" s="20">
        <v>276</v>
      </c>
      <c r="AI86" s="20">
        <v>23</v>
      </c>
      <c r="AJ86" s="21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</row>
    <row r="87" spans="1:41" ht="15" x14ac:dyDescent="0.25">
      <c r="A87" s="11" t="s">
        <v>22</v>
      </c>
      <c r="B87" s="12">
        <v>1288</v>
      </c>
      <c r="C87" s="17">
        <v>600</v>
      </c>
      <c r="D87" s="12">
        <v>0</v>
      </c>
      <c r="E87" s="12">
        <v>0</v>
      </c>
      <c r="F87" s="12">
        <v>0</v>
      </c>
      <c r="G87" s="12">
        <v>0</v>
      </c>
      <c r="H87" s="4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0">
        <f>SUM(23*12)</f>
        <v>276</v>
      </c>
      <c r="Q87" s="10">
        <v>23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144</v>
      </c>
      <c r="Z87" s="12">
        <v>12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22">
        <v>0</v>
      </c>
      <c r="AH87" s="20">
        <v>144</v>
      </c>
      <c r="AI87" s="20">
        <v>12</v>
      </c>
      <c r="AJ87" s="23">
        <v>0</v>
      </c>
      <c r="AK87" s="12">
        <v>0</v>
      </c>
      <c r="AL87" s="12">
        <v>0</v>
      </c>
      <c r="AM87" s="12">
        <f>246+SUM(140)</f>
        <v>386</v>
      </c>
      <c r="AN87" s="12">
        <v>25</v>
      </c>
      <c r="AO87" s="12">
        <v>2</v>
      </c>
    </row>
    <row r="88" spans="1:41" ht="15" x14ac:dyDescent="0.25">
      <c r="A88" s="13" t="s">
        <v>46</v>
      </c>
      <c r="B88" s="10">
        <v>2767</v>
      </c>
      <c r="C88" s="10">
        <v>2016</v>
      </c>
      <c r="D88" s="10">
        <v>0</v>
      </c>
      <c r="E88" s="10">
        <v>896</v>
      </c>
      <c r="F88" s="10">
        <v>0</v>
      </c>
      <c r="G88" s="10">
        <v>0</v>
      </c>
      <c r="H88" s="2">
        <v>0</v>
      </c>
      <c r="I88" s="10">
        <v>0</v>
      </c>
      <c r="J88" s="10">
        <v>100</v>
      </c>
      <c r="K88" s="10">
        <v>0.5</v>
      </c>
      <c r="L88" s="10">
        <v>1000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24">
        <v>0</v>
      </c>
      <c r="AI88" s="24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5">
        <v>39</v>
      </c>
    </row>
    <row r="89" spans="1:41" ht="15" x14ac:dyDescent="0.25">
      <c r="A89" s="13" t="s">
        <v>47</v>
      </c>
      <c r="B89" s="10">
        <v>2118</v>
      </c>
      <c r="C89" s="10">
        <v>2880</v>
      </c>
      <c r="D89" s="10">
        <v>0</v>
      </c>
      <c r="E89" s="10">
        <v>1120</v>
      </c>
      <c r="F89" s="10">
        <v>0</v>
      </c>
      <c r="G89" s="10">
        <v>0</v>
      </c>
      <c r="H89" s="10">
        <v>0</v>
      </c>
      <c r="I89" s="10">
        <v>0</v>
      </c>
      <c r="J89" s="10">
        <v>400</v>
      </c>
      <c r="K89" s="10">
        <v>2</v>
      </c>
      <c r="L89" s="10">
        <v>4125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48</v>
      </c>
    </row>
    <row r="90" spans="1:41" ht="15" x14ac:dyDescent="0.25">
      <c r="A90" s="14" t="s">
        <v>24</v>
      </c>
      <c r="B90" s="10">
        <f>SUM(B85+B86-B87-B88-B89)</f>
        <v>20683</v>
      </c>
      <c r="C90" s="10">
        <f>SUM(C85+C86-C87-C88-C89)</f>
        <v>5707</v>
      </c>
      <c r="D90" s="10">
        <f>SUM(D85+D86-D87-D88-D89)</f>
        <v>25966</v>
      </c>
      <c r="E90" s="10">
        <f>SUM(E85+E86-E87-E88-E89)</f>
        <v>554</v>
      </c>
      <c r="F90" s="10">
        <f>SUM(F85+F86-F87-F88)</f>
        <v>350</v>
      </c>
      <c r="G90" s="10">
        <f>SUM(G85+G86-G87-G88)</f>
        <v>35</v>
      </c>
      <c r="H90" s="2">
        <f>SUM(H85+H86-H87-H88)</f>
        <v>0</v>
      </c>
      <c r="I90" s="10">
        <f>SUM(I85+I86-I87-I88)</f>
        <v>410</v>
      </c>
      <c r="J90" s="10">
        <f>SUM(J85+J86-J87-J88-J89)</f>
        <v>14502</v>
      </c>
      <c r="K90" s="10">
        <f>SUM(K85+K86-K87-K88-K89)</f>
        <v>67.349000000000004</v>
      </c>
      <c r="L90" s="10">
        <f>SUM(L85+L86+L87+L88+L89)</f>
        <v>5125</v>
      </c>
      <c r="M90" s="10">
        <f>SUM(M85+M86+M87+M88)</f>
        <v>171</v>
      </c>
      <c r="N90" s="10">
        <f>SUM(N85+N86-N87-N88)</f>
        <v>0</v>
      </c>
      <c r="O90" s="10">
        <f>SUM(O85+O86-O87-O88)</f>
        <v>87</v>
      </c>
      <c r="P90" s="10">
        <f>SUM(P85+P86+P87+P88)</f>
        <v>46780</v>
      </c>
      <c r="Q90" s="10">
        <f>SUM(Q85-Q86+Q87+Q88)</f>
        <v>3898</v>
      </c>
      <c r="R90" s="10">
        <f>SUM(R85+R86+R87+R88)</f>
        <v>152</v>
      </c>
      <c r="S90" s="10">
        <f>SUM(S85-S86+S87+S88)</f>
        <v>816</v>
      </c>
      <c r="T90" s="10">
        <f>SUM(T85+T86+T87+T88)</f>
        <v>51</v>
      </c>
      <c r="U90" s="10">
        <f>SUM(U85+U86-U87-U88)</f>
        <v>0</v>
      </c>
      <c r="V90" s="10">
        <f>SUM(V85+V86-V87-V88)</f>
        <v>32</v>
      </c>
      <c r="W90" s="10">
        <f>SUM(W85+W86-W87-W88)</f>
        <v>0</v>
      </c>
      <c r="X90" s="10">
        <f>SUM(X85+X86-X87-X88)</f>
        <v>75</v>
      </c>
      <c r="Y90" s="10">
        <f>SUM(Y85+Y86+Y87+Y88)</f>
        <v>46445</v>
      </c>
      <c r="Z90" s="10">
        <f>SUM(Z85+Z86+Z87+Z88)</f>
        <v>3870</v>
      </c>
      <c r="AA90" s="10">
        <f>SUM(AA85+AA86+AA87+AA88)</f>
        <v>27</v>
      </c>
      <c r="AB90" s="10">
        <f>SUM(AB85-AB86+AB87+AB88)</f>
        <v>907</v>
      </c>
      <c r="AC90" s="10">
        <f t="shared" ref="AC90:AL90" si="18">SUM(AC85+AC86-AC87-AC88)</f>
        <v>51</v>
      </c>
      <c r="AD90" s="10">
        <f t="shared" si="18"/>
        <v>5125</v>
      </c>
      <c r="AE90" s="10">
        <f t="shared" si="18"/>
        <v>129</v>
      </c>
      <c r="AF90" s="10">
        <f t="shared" si="18"/>
        <v>0</v>
      </c>
      <c r="AG90" s="10">
        <f t="shared" si="18"/>
        <v>0</v>
      </c>
      <c r="AH90" s="10">
        <f t="shared" si="18"/>
        <v>132</v>
      </c>
      <c r="AI90" s="10">
        <f t="shared" si="18"/>
        <v>11</v>
      </c>
      <c r="AJ90" s="10">
        <f t="shared" si="18"/>
        <v>100</v>
      </c>
      <c r="AK90" s="10">
        <f t="shared" si="18"/>
        <v>0</v>
      </c>
      <c r="AL90" s="10">
        <f t="shared" si="18"/>
        <v>24</v>
      </c>
      <c r="AM90" s="10">
        <f>SUM(AM85-AM86+AM87+AM88+AM89)</f>
        <v>1086</v>
      </c>
      <c r="AN90" s="10">
        <f>SUM(AN85-AN86+AN87+AN88+AN89)</f>
        <v>214</v>
      </c>
      <c r="AO90" s="10">
        <f>SUM(AO85-AO86+AO87+AO88)</f>
        <v>81</v>
      </c>
    </row>
    <row r="93" spans="1:41" ht="18.75" x14ac:dyDescent="0.3">
      <c r="A93" s="16" t="s">
        <v>50</v>
      </c>
      <c r="B93" s="27" t="s">
        <v>26</v>
      </c>
      <c r="C93" s="27"/>
      <c r="D93" s="27"/>
      <c r="E93" s="27"/>
      <c r="F93" s="27"/>
      <c r="G93" s="27"/>
      <c r="H93" s="27"/>
      <c r="I93" s="27"/>
      <c r="J93" s="27"/>
      <c r="K93" s="27"/>
      <c r="L93" s="27" t="s">
        <v>29</v>
      </c>
      <c r="M93" s="27"/>
      <c r="N93" s="27"/>
      <c r="O93" s="27"/>
      <c r="P93" s="27"/>
      <c r="Q93" s="27"/>
      <c r="R93" s="27"/>
      <c r="S93" s="27"/>
      <c r="T93" s="27"/>
      <c r="U93" s="27" t="s">
        <v>28</v>
      </c>
      <c r="V93" s="27"/>
      <c r="W93" s="27"/>
      <c r="X93" s="27"/>
      <c r="Y93" s="27"/>
      <c r="Z93" s="27"/>
      <c r="AA93" s="27"/>
      <c r="AB93" s="27"/>
      <c r="AC93" s="27"/>
      <c r="AD93" s="27" t="s">
        <v>27</v>
      </c>
      <c r="AE93" s="27"/>
      <c r="AF93" s="27"/>
      <c r="AG93" s="27"/>
      <c r="AH93" s="27"/>
      <c r="AI93" s="27"/>
      <c r="AJ93" s="27"/>
      <c r="AK93" s="27"/>
      <c r="AL93" s="27"/>
      <c r="AM93" s="27" t="s">
        <v>25</v>
      </c>
      <c r="AN93" s="27"/>
      <c r="AO93" s="27"/>
    </row>
    <row r="94" spans="1:41" ht="15" x14ac:dyDescent="0.25">
      <c r="A94" s="5" t="s">
        <v>74</v>
      </c>
      <c r="B94" s="1" t="s">
        <v>0</v>
      </c>
      <c r="C94" s="1" t="s">
        <v>1</v>
      </c>
      <c r="D94" s="1" t="s">
        <v>2</v>
      </c>
      <c r="E94" s="1" t="s">
        <v>3</v>
      </c>
      <c r="F94" s="1" t="s">
        <v>4</v>
      </c>
      <c r="G94" s="1" t="s">
        <v>5</v>
      </c>
      <c r="H94" s="1" t="s">
        <v>33</v>
      </c>
      <c r="I94" s="1" t="s">
        <v>6</v>
      </c>
      <c r="J94" s="1" t="s">
        <v>7</v>
      </c>
      <c r="K94" s="1" t="s">
        <v>8</v>
      </c>
      <c r="L94" s="1" t="s">
        <v>9</v>
      </c>
      <c r="M94" s="1" t="s">
        <v>30</v>
      </c>
      <c r="N94" s="1" t="s">
        <v>10</v>
      </c>
      <c r="O94" s="1" t="s">
        <v>11</v>
      </c>
      <c r="P94" s="1" t="s">
        <v>32</v>
      </c>
      <c r="Q94" s="1" t="s">
        <v>37</v>
      </c>
      <c r="R94" s="1" t="s">
        <v>31</v>
      </c>
      <c r="S94" s="6" t="s">
        <v>12</v>
      </c>
      <c r="T94" s="6" t="s">
        <v>13</v>
      </c>
      <c r="U94" s="6" t="s">
        <v>14</v>
      </c>
      <c r="V94" s="1" t="s">
        <v>30</v>
      </c>
      <c r="W94" s="6" t="s">
        <v>10</v>
      </c>
      <c r="X94" s="6" t="s">
        <v>15</v>
      </c>
      <c r="Y94" s="1" t="s">
        <v>32</v>
      </c>
      <c r="Z94" s="1" t="s">
        <v>37</v>
      </c>
      <c r="AA94" s="1" t="s">
        <v>31</v>
      </c>
      <c r="AB94" s="1" t="s">
        <v>12</v>
      </c>
      <c r="AC94" s="1" t="s">
        <v>13</v>
      </c>
      <c r="AD94" s="1" t="s">
        <v>9</v>
      </c>
      <c r="AE94" s="1" t="s">
        <v>30</v>
      </c>
      <c r="AF94" s="1" t="s">
        <v>10</v>
      </c>
      <c r="AG94" s="1" t="s">
        <v>11</v>
      </c>
      <c r="AH94" s="18" t="s">
        <v>32</v>
      </c>
      <c r="AI94" s="18" t="s">
        <v>37</v>
      </c>
      <c r="AJ94" s="1" t="s">
        <v>44</v>
      </c>
      <c r="AK94" s="7" t="s">
        <v>16</v>
      </c>
      <c r="AL94" s="8" t="s">
        <v>13</v>
      </c>
      <c r="AM94" s="1" t="s">
        <v>17</v>
      </c>
      <c r="AN94" s="8" t="s">
        <v>49</v>
      </c>
      <c r="AO94" s="8" t="s">
        <v>19</v>
      </c>
    </row>
    <row r="95" spans="1:41" ht="15" x14ac:dyDescent="0.25">
      <c r="A95" s="9" t="s">
        <v>20</v>
      </c>
      <c r="B95" s="10">
        <v>20683</v>
      </c>
      <c r="C95" s="10">
        <v>5707</v>
      </c>
      <c r="D95" s="10">
        <v>25966</v>
      </c>
      <c r="E95" s="10">
        <v>554</v>
      </c>
      <c r="F95" s="10">
        <v>350</v>
      </c>
      <c r="G95" s="10">
        <v>35</v>
      </c>
      <c r="H95" s="3">
        <v>0</v>
      </c>
      <c r="I95" s="25">
        <v>410</v>
      </c>
      <c r="J95" s="10">
        <v>14502</v>
      </c>
      <c r="K95" s="10">
        <v>67.349000000000004</v>
      </c>
      <c r="L95" s="10">
        <v>5125</v>
      </c>
      <c r="M95" s="10">
        <v>171</v>
      </c>
      <c r="N95" s="10">
        <v>0</v>
      </c>
      <c r="O95" s="10">
        <v>87</v>
      </c>
      <c r="P95" s="10">
        <v>46780</v>
      </c>
      <c r="Q95" s="10">
        <v>3898</v>
      </c>
      <c r="R95" s="10">
        <v>152</v>
      </c>
      <c r="S95" s="10">
        <v>816</v>
      </c>
      <c r="T95" s="10">
        <v>51</v>
      </c>
      <c r="U95" s="10">
        <v>0</v>
      </c>
      <c r="V95" s="10">
        <v>32</v>
      </c>
      <c r="W95" s="10">
        <v>0</v>
      </c>
      <c r="X95" s="10">
        <v>75</v>
      </c>
      <c r="Y95" s="10">
        <v>46445</v>
      </c>
      <c r="Z95" s="10">
        <v>3870</v>
      </c>
      <c r="AA95" s="10">
        <v>27</v>
      </c>
      <c r="AB95" s="10">
        <v>907</v>
      </c>
      <c r="AC95" s="10">
        <v>51</v>
      </c>
      <c r="AD95" s="10">
        <v>5125</v>
      </c>
      <c r="AE95" s="10">
        <v>129</v>
      </c>
      <c r="AF95" s="10">
        <v>0</v>
      </c>
      <c r="AG95" s="19">
        <v>0</v>
      </c>
      <c r="AH95" s="20">
        <v>132</v>
      </c>
      <c r="AI95" s="20">
        <v>11</v>
      </c>
      <c r="AJ95" s="21">
        <v>100</v>
      </c>
      <c r="AK95" s="10">
        <v>0</v>
      </c>
      <c r="AL95" s="10">
        <v>24</v>
      </c>
      <c r="AM95" s="10">
        <v>1086</v>
      </c>
      <c r="AN95" s="10">
        <v>214</v>
      </c>
      <c r="AO95" s="10">
        <v>81</v>
      </c>
    </row>
    <row r="96" spans="1:41" ht="15" x14ac:dyDescent="0.25">
      <c r="A96" s="9" t="s">
        <v>21</v>
      </c>
      <c r="B96" s="10">
        <v>0</v>
      </c>
      <c r="C96" s="10">
        <f>SUM(3612-33+4021-760-32)</f>
        <v>6808</v>
      </c>
      <c r="D96" s="10">
        <v>0</v>
      </c>
      <c r="E96" s="10">
        <v>1029</v>
      </c>
      <c r="F96" s="10">
        <v>0</v>
      </c>
      <c r="G96" s="10">
        <v>0</v>
      </c>
      <c r="H96" s="2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4000</v>
      </c>
      <c r="AE96" s="10">
        <v>0</v>
      </c>
      <c r="AF96" s="10">
        <v>0</v>
      </c>
      <c r="AG96" s="19">
        <v>0</v>
      </c>
      <c r="AH96" s="20">
        <f>SUM(14*12+83*12+45*12)</f>
        <v>1704</v>
      </c>
      <c r="AI96" s="20">
        <f>14+SUM(83+45)</f>
        <v>142</v>
      </c>
      <c r="AJ96" s="21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</row>
    <row r="97" spans="1:41" ht="15" x14ac:dyDescent="0.25">
      <c r="A97" s="11" t="s">
        <v>22</v>
      </c>
      <c r="B97" s="12">
        <v>3612</v>
      </c>
      <c r="C97" s="17">
        <v>2304</v>
      </c>
      <c r="D97" s="12">
        <v>1079</v>
      </c>
      <c r="E97" s="12">
        <v>896</v>
      </c>
      <c r="F97" s="12">
        <v>0</v>
      </c>
      <c r="G97" s="12">
        <v>0</v>
      </c>
      <c r="H97" s="4">
        <v>0</v>
      </c>
      <c r="I97" s="12">
        <v>0</v>
      </c>
      <c r="J97" s="12">
        <v>400</v>
      </c>
      <c r="K97" s="12">
        <v>2.5</v>
      </c>
      <c r="L97" s="12">
        <v>4000</v>
      </c>
      <c r="M97" s="12">
        <v>0</v>
      </c>
      <c r="N97" s="12">
        <v>0</v>
      </c>
      <c r="O97" s="12">
        <v>0</v>
      </c>
      <c r="P97" s="10">
        <f>SUM(14*12)</f>
        <v>168</v>
      </c>
      <c r="Q97" s="10">
        <v>14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22">
        <v>0</v>
      </c>
      <c r="AH97" s="20">
        <v>0</v>
      </c>
      <c r="AI97" s="20">
        <v>0</v>
      </c>
      <c r="AJ97" s="23">
        <v>100</v>
      </c>
      <c r="AK97" s="12">
        <v>0</v>
      </c>
      <c r="AL97" s="12">
        <v>0</v>
      </c>
      <c r="AM97" s="12">
        <v>0</v>
      </c>
      <c r="AN97" s="12">
        <v>33</v>
      </c>
      <c r="AO97" s="12">
        <v>102</v>
      </c>
    </row>
    <row r="98" spans="1:41" ht="15" x14ac:dyDescent="0.25">
      <c r="A98" s="13" t="s">
        <v>46</v>
      </c>
      <c r="B98" s="10">
        <v>0</v>
      </c>
      <c r="C98" s="10">
        <v>2000</v>
      </c>
      <c r="D98" s="10">
        <v>0</v>
      </c>
      <c r="E98" s="10">
        <v>0</v>
      </c>
      <c r="F98" s="10">
        <v>0</v>
      </c>
      <c r="G98" s="10">
        <v>0</v>
      </c>
      <c r="H98" s="2">
        <v>0</v>
      </c>
      <c r="I98" s="10">
        <v>0</v>
      </c>
      <c r="J98" s="10">
        <v>0</v>
      </c>
      <c r="K98" s="10">
        <v>1</v>
      </c>
      <c r="L98" s="10">
        <v>0</v>
      </c>
      <c r="M98" s="10">
        <v>0</v>
      </c>
      <c r="N98" s="10">
        <v>0</v>
      </c>
      <c r="O98" s="10">
        <v>0</v>
      </c>
      <c r="P98" s="10">
        <f>SUM(83*12)</f>
        <v>996</v>
      </c>
      <c r="Q98" s="10">
        <v>83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24">
        <v>0</v>
      </c>
      <c r="AI98" s="24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22</v>
      </c>
      <c r="AO98" s="15">
        <v>4</v>
      </c>
    </row>
    <row r="99" spans="1:41" ht="15" x14ac:dyDescent="0.25">
      <c r="A99" s="13" t="s">
        <v>47</v>
      </c>
      <c r="B99" s="10">
        <v>4020</v>
      </c>
      <c r="C99" s="10">
        <v>1114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0.75</v>
      </c>
      <c r="L99" s="10">
        <v>0</v>
      </c>
      <c r="M99" s="10">
        <v>0</v>
      </c>
      <c r="N99" s="10">
        <v>0</v>
      </c>
      <c r="O99" s="10">
        <v>0</v>
      </c>
      <c r="P99" s="10">
        <f>SUM(45*12)</f>
        <v>540</v>
      </c>
      <c r="Q99" s="10">
        <v>45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760</v>
      </c>
      <c r="AN99" s="10">
        <v>32</v>
      </c>
      <c r="AO99" s="10">
        <v>34</v>
      </c>
    </row>
    <row r="100" spans="1:41" ht="15" x14ac:dyDescent="0.25">
      <c r="A100" s="14" t="s">
        <v>24</v>
      </c>
      <c r="B100" s="10">
        <f>SUM(B95+B96-B97-B98-B99)</f>
        <v>13051</v>
      </c>
      <c r="C100" s="10">
        <f>SUM(C95+C96-C97-C98-C99)</f>
        <v>7097</v>
      </c>
      <c r="D100" s="10">
        <f>SUM(D95+D96-D97-D98-D99)</f>
        <v>24887</v>
      </c>
      <c r="E100" s="10">
        <f>SUM(E95+E96-E97-E98-E99)</f>
        <v>687</v>
      </c>
      <c r="F100" s="10">
        <f t="shared" ref="F100:K100" si="19">SUM(F95+F96-F97-F98)</f>
        <v>350</v>
      </c>
      <c r="G100" s="10">
        <f t="shared" si="19"/>
        <v>35</v>
      </c>
      <c r="H100" s="2">
        <f t="shared" si="19"/>
        <v>0</v>
      </c>
      <c r="I100" s="10">
        <f t="shared" si="19"/>
        <v>410</v>
      </c>
      <c r="J100" s="10">
        <f t="shared" si="19"/>
        <v>14102</v>
      </c>
      <c r="K100" s="10">
        <f t="shared" si="19"/>
        <v>63.849000000000004</v>
      </c>
      <c r="L100" s="10">
        <f>SUM(L95+L96+L97+L98+L99)</f>
        <v>9125</v>
      </c>
      <c r="M100" s="10">
        <f>SUM(M95+M96+M97+M98)</f>
        <v>171</v>
      </c>
      <c r="N100" s="10">
        <f>SUM(N95+N96-N97-N98)</f>
        <v>0</v>
      </c>
      <c r="O100" s="10">
        <f>SUM(O95+O96-O97-O98)</f>
        <v>87</v>
      </c>
      <c r="P100" s="10">
        <f>SUM(P95+P96+P97+P98+P99)</f>
        <v>48484</v>
      </c>
      <c r="Q100" s="10">
        <f>SUM(Q95-Q96+Q97+Q98+Q99)</f>
        <v>4040</v>
      </c>
      <c r="R100" s="10">
        <f>SUM(R95-R96+R97+R98)</f>
        <v>152</v>
      </c>
      <c r="S100" s="10">
        <f>SUM(S95-S96+S97+S98)</f>
        <v>816</v>
      </c>
      <c r="T100" s="10">
        <f>SUM(T95+T96+T97+T98)</f>
        <v>51</v>
      </c>
      <c r="U100" s="10">
        <f>SUM(U95+U96-U97-U98)</f>
        <v>0</v>
      </c>
      <c r="V100" s="10">
        <f>SUM(V95+V96-V97-V98)</f>
        <v>32</v>
      </c>
      <c r="W100" s="10">
        <f>SUM(W95+W96-W97-W98)</f>
        <v>0</v>
      </c>
      <c r="X100" s="10">
        <f>SUM(X95+X96-X97-X98)</f>
        <v>75</v>
      </c>
      <c r="Y100" s="10">
        <f>SUM(Y95+Y96+Y97+Y98)</f>
        <v>46445</v>
      </c>
      <c r="Z100" s="10">
        <f>SUM(Z95+Z96+Z97+Z98)</f>
        <v>3870</v>
      </c>
      <c r="AA100" s="10">
        <f>SUM(AA95+AA96+AA97+AA98)</f>
        <v>27</v>
      </c>
      <c r="AB100" s="10">
        <f>SUM(AB95-AB96+AB97+AB98)</f>
        <v>907</v>
      </c>
      <c r="AC100" s="10">
        <f t="shared" ref="AC100:AL100" si="20">SUM(AC95+AC96-AC97-AC98)</f>
        <v>51</v>
      </c>
      <c r="AD100" s="10">
        <f t="shared" si="20"/>
        <v>9125</v>
      </c>
      <c r="AE100" s="10">
        <f t="shared" si="20"/>
        <v>129</v>
      </c>
      <c r="AF100" s="10">
        <f t="shared" si="20"/>
        <v>0</v>
      </c>
      <c r="AG100" s="10">
        <f t="shared" si="20"/>
        <v>0</v>
      </c>
      <c r="AH100" s="10">
        <f t="shared" si="20"/>
        <v>1836</v>
      </c>
      <c r="AI100" s="10">
        <f t="shared" si="20"/>
        <v>153</v>
      </c>
      <c r="AJ100" s="10">
        <f t="shared" si="20"/>
        <v>0</v>
      </c>
      <c r="AK100" s="10">
        <f t="shared" si="20"/>
        <v>0</v>
      </c>
      <c r="AL100" s="10">
        <f t="shared" si="20"/>
        <v>24</v>
      </c>
      <c r="AM100" s="10">
        <f>SUM(AM95-AM96+AM97+AM98+AM99)</f>
        <v>1846</v>
      </c>
      <c r="AN100" s="10">
        <f>SUM(AN95-AN96+AN97+AN98+AN99)</f>
        <v>301</v>
      </c>
      <c r="AO100" s="10">
        <f>SUM(AO95-AO96+AO97+AO98)</f>
        <v>187</v>
      </c>
    </row>
    <row r="103" spans="1:41" ht="18.75" x14ac:dyDescent="0.3">
      <c r="A103" s="16" t="s">
        <v>51</v>
      </c>
      <c r="B103" s="27" t="s">
        <v>26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 t="s">
        <v>29</v>
      </c>
      <c r="M103" s="27"/>
      <c r="N103" s="27"/>
      <c r="O103" s="27"/>
      <c r="P103" s="27"/>
      <c r="Q103" s="27"/>
      <c r="R103" s="27"/>
      <c r="S103" s="27"/>
      <c r="T103" s="27"/>
      <c r="U103" s="27" t="s">
        <v>28</v>
      </c>
      <c r="V103" s="27"/>
      <c r="W103" s="27"/>
      <c r="X103" s="27"/>
      <c r="Y103" s="27"/>
      <c r="Z103" s="27"/>
      <c r="AA103" s="27"/>
      <c r="AB103" s="27"/>
      <c r="AC103" s="27"/>
      <c r="AD103" s="27" t="s">
        <v>27</v>
      </c>
      <c r="AE103" s="27"/>
      <c r="AF103" s="27"/>
      <c r="AG103" s="27"/>
      <c r="AH103" s="27"/>
      <c r="AI103" s="27"/>
      <c r="AJ103" s="27"/>
      <c r="AK103" s="27"/>
      <c r="AL103" s="27"/>
      <c r="AM103" s="27" t="s">
        <v>25</v>
      </c>
      <c r="AN103" s="27"/>
      <c r="AO103" s="27"/>
    </row>
    <row r="104" spans="1:41" ht="15" x14ac:dyDescent="0.25">
      <c r="A104" s="5" t="s">
        <v>74</v>
      </c>
      <c r="B104" s="1" t="s">
        <v>0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5</v>
      </c>
      <c r="H104" s="1" t="s">
        <v>33</v>
      </c>
      <c r="I104" s="1" t="s">
        <v>6</v>
      </c>
      <c r="J104" s="1" t="s">
        <v>7</v>
      </c>
      <c r="K104" s="1" t="s">
        <v>8</v>
      </c>
      <c r="L104" s="1" t="s">
        <v>9</v>
      </c>
      <c r="M104" s="1" t="s">
        <v>30</v>
      </c>
      <c r="N104" s="1" t="s">
        <v>10</v>
      </c>
      <c r="O104" s="1" t="s">
        <v>11</v>
      </c>
      <c r="P104" s="1" t="s">
        <v>32</v>
      </c>
      <c r="Q104" s="1" t="s">
        <v>37</v>
      </c>
      <c r="R104" s="1" t="s">
        <v>31</v>
      </c>
      <c r="S104" s="6" t="s">
        <v>12</v>
      </c>
      <c r="T104" s="6" t="s">
        <v>13</v>
      </c>
      <c r="U104" s="6" t="s">
        <v>14</v>
      </c>
      <c r="V104" s="1" t="s">
        <v>30</v>
      </c>
      <c r="W104" s="6" t="s">
        <v>10</v>
      </c>
      <c r="X104" s="6" t="s">
        <v>15</v>
      </c>
      <c r="Y104" s="1" t="s">
        <v>32</v>
      </c>
      <c r="Z104" s="1" t="s">
        <v>37</v>
      </c>
      <c r="AA104" s="1" t="s">
        <v>31</v>
      </c>
      <c r="AB104" s="1" t="s">
        <v>12</v>
      </c>
      <c r="AC104" s="1" t="s">
        <v>13</v>
      </c>
      <c r="AD104" s="1" t="s">
        <v>9</v>
      </c>
      <c r="AE104" s="1" t="s">
        <v>30</v>
      </c>
      <c r="AF104" s="1" t="s">
        <v>10</v>
      </c>
      <c r="AG104" s="1" t="s">
        <v>11</v>
      </c>
      <c r="AH104" s="18" t="s">
        <v>32</v>
      </c>
      <c r="AI104" s="18" t="s">
        <v>37</v>
      </c>
      <c r="AJ104" s="1" t="s">
        <v>44</v>
      </c>
      <c r="AK104" s="7" t="s">
        <v>16</v>
      </c>
      <c r="AL104" s="8" t="s">
        <v>13</v>
      </c>
      <c r="AM104" s="1" t="s">
        <v>17</v>
      </c>
      <c r="AN104" s="8" t="s">
        <v>49</v>
      </c>
      <c r="AO104" s="8" t="s">
        <v>19</v>
      </c>
    </row>
    <row r="105" spans="1:41" ht="15" x14ac:dyDescent="0.25">
      <c r="A105" s="9" t="s">
        <v>20</v>
      </c>
      <c r="B105" s="10">
        <v>13051</v>
      </c>
      <c r="C105" s="10">
        <v>7097</v>
      </c>
      <c r="D105" s="10">
        <v>24887</v>
      </c>
      <c r="E105" s="10">
        <v>687</v>
      </c>
      <c r="F105" s="10">
        <v>350</v>
      </c>
      <c r="G105" s="10">
        <v>35</v>
      </c>
      <c r="H105" s="3">
        <v>0</v>
      </c>
      <c r="I105" s="25">
        <v>410</v>
      </c>
      <c r="J105" s="10">
        <v>14102</v>
      </c>
      <c r="K105" s="10">
        <v>63.848999999999997</v>
      </c>
      <c r="L105" s="10">
        <v>9125</v>
      </c>
      <c r="M105" s="10">
        <v>171</v>
      </c>
      <c r="N105" s="10">
        <v>0</v>
      </c>
      <c r="O105" s="10">
        <v>87</v>
      </c>
      <c r="P105" s="10">
        <v>48484</v>
      </c>
      <c r="Q105" s="10">
        <v>4040</v>
      </c>
      <c r="R105" s="10">
        <v>152</v>
      </c>
      <c r="S105" s="10">
        <v>816</v>
      </c>
      <c r="T105" s="10">
        <v>51</v>
      </c>
      <c r="U105" s="10">
        <v>0</v>
      </c>
      <c r="V105" s="10">
        <v>32</v>
      </c>
      <c r="W105" s="10">
        <v>0</v>
      </c>
      <c r="X105" s="10">
        <v>75</v>
      </c>
      <c r="Y105" s="10">
        <v>46445</v>
      </c>
      <c r="Z105" s="10">
        <v>3870</v>
      </c>
      <c r="AA105" s="10">
        <v>27</v>
      </c>
      <c r="AB105" s="10">
        <v>907</v>
      </c>
      <c r="AC105" s="10">
        <v>51</v>
      </c>
      <c r="AD105" s="10">
        <v>9125</v>
      </c>
      <c r="AE105" s="10">
        <v>129</v>
      </c>
      <c r="AF105" s="10">
        <v>0</v>
      </c>
      <c r="AG105" s="19">
        <v>0</v>
      </c>
      <c r="AH105" s="20">
        <v>1836</v>
      </c>
      <c r="AI105" s="20">
        <v>153</v>
      </c>
      <c r="AJ105" s="21">
        <v>0</v>
      </c>
      <c r="AK105" s="10">
        <v>0</v>
      </c>
      <c r="AL105" s="10">
        <v>24</v>
      </c>
      <c r="AM105" s="10">
        <v>1846</v>
      </c>
      <c r="AN105" s="10">
        <v>301</v>
      </c>
      <c r="AO105" s="10">
        <v>187</v>
      </c>
    </row>
    <row r="106" spans="1:41" ht="15" x14ac:dyDescent="0.25">
      <c r="A106" s="9" t="s">
        <v>21</v>
      </c>
      <c r="B106" s="10">
        <v>0</v>
      </c>
      <c r="C106" s="10">
        <f>SUM(1950-546-20-30)</f>
        <v>1354</v>
      </c>
      <c r="D106" s="10">
        <v>28000</v>
      </c>
      <c r="E106" s="10">
        <v>0</v>
      </c>
      <c r="F106" s="10">
        <v>0</v>
      </c>
      <c r="G106" s="10">
        <v>0</v>
      </c>
      <c r="H106" s="2">
        <v>0</v>
      </c>
      <c r="I106" s="10">
        <v>0</v>
      </c>
      <c r="J106" s="10">
        <v>5000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9">
        <v>0</v>
      </c>
      <c r="AH106" s="20">
        <f>624+SUM(180)</f>
        <v>804</v>
      </c>
      <c r="AI106" s="20">
        <f>52+SUM(15)</f>
        <v>67</v>
      </c>
      <c r="AJ106" s="21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</row>
    <row r="107" spans="1:41" ht="15" x14ac:dyDescent="0.25">
      <c r="A107" s="11" t="s">
        <v>22</v>
      </c>
      <c r="B107" s="12">
        <v>1950</v>
      </c>
      <c r="C107" s="17">
        <f>SUM(52*24+4)</f>
        <v>1252</v>
      </c>
      <c r="D107" s="12">
        <v>0</v>
      </c>
      <c r="E107" s="12">
        <v>0</v>
      </c>
      <c r="F107" s="12">
        <v>0</v>
      </c>
      <c r="G107" s="12">
        <v>0</v>
      </c>
      <c r="H107" s="4">
        <v>0</v>
      </c>
      <c r="I107" s="12">
        <v>0</v>
      </c>
      <c r="J107" s="12">
        <v>0</v>
      </c>
      <c r="K107" s="12">
        <v>0.5</v>
      </c>
      <c r="L107" s="12">
        <v>0</v>
      </c>
      <c r="M107" s="12">
        <v>0</v>
      </c>
      <c r="N107" s="12">
        <v>0</v>
      </c>
      <c r="O107" s="12">
        <v>0</v>
      </c>
      <c r="P107" s="10">
        <f>SUM(52*12)</f>
        <v>624</v>
      </c>
      <c r="Q107" s="10">
        <v>52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2400</v>
      </c>
      <c r="Z107" s="12">
        <v>200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22">
        <v>0</v>
      </c>
      <c r="AH107" s="20">
        <v>2400</v>
      </c>
      <c r="AI107" s="20">
        <v>200</v>
      </c>
      <c r="AJ107" s="23">
        <v>0</v>
      </c>
      <c r="AK107" s="12">
        <v>0</v>
      </c>
      <c r="AL107" s="12">
        <v>0</v>
      </c>
      <c r="AM107" s="12">
        <v>546</v>
      </c>
      <c r="AN107" s="12">
        <v>20</v>
      </c>
      <c r="AO107" s="12">
        <v>4</v>
      </c>
    </row>
    <row r="108" spans="1:41" ht="15" x14ac:dyDescent="0.25">
      <c r="A108" s="13" t="s">
        <v>46</v>
      </c>
      <c r="B108" s="10">
        <v>0</v>
      </c>
      <c r="C108" s="10">
        <f>SUM(15*24)</f>
        <v>360</v>
      </c>
      <c r="D108" s="10">
        <v>0</v>
      </c>
      <c r="E108" s="10">
        <v>0</v>
      </c>
      <c r="F108" s="10">
        <v>0</v>
      </c>
      <c r="G108" s="10">
        <v>0</v>
      </c>
      <c r="H108" s="2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180</v>
      </c>
      <c r="Q108" s="10">
        <v>15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24">
        <v>0</v>
      </c>
      <c r="AI108" s="24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83</v>
      </c>
      <c r="AO108" s="15">
        <v>0</v>
      </c>
    </row>
    <row r="109" spans="1:41" ht="15" x14ac:dyDescent="0.25">
      <c r="A109" s="13" t="s">
        <v>47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</row>
    <row r="110" spans="1:41" ht="15" x14ac:dyDescent="0.25">
      <c r="A110" s="14" t="s">
        <v>24</v>
      </c>
      <c r="B110" s="10">
        <f>SUM(B105+B106-B107-B108-B109)</f>
        <v>11101</v>
      </c>
      <c r="C110" s="10">
        <f>SUM(C105+C106-C107-C108-C109)</f>
        <v>6839</v>
      </c>
      <c r="D110" s="10">
        <f>SUM(D105+D106-D107-D108-D109)</f>
        <v>52887</v>
      </c>
      <c r="E110" s="10">
        <f>SUM(E105+E106-E107-E108-E109)</f>
        <v>687</v>
      </c>
      <c r="F110" s="10">
        <f t="shared" ref="F110:K110" si="21">SUM(F105+F106-F107-F108)</f>
        <v>350</v>
      </c>
      <c r="G110" s="10">
        <f t="shared" si="21"/>
        <v>35</v>
      </c>
      <c r="H110" s="2">
        <f t="shared" si="21"/>
        <v>0</v>
      </c>
      <c r="I110" s="10">
        <f t="shared" si="21"/>
        <v>410</v>
      </c>
      <c r="J110" s="10">
        <f t="shared" si="21"/>
        <v>19102</v>
      </c>
      <c r="K110" s="10">
        <f t="shared" si="21"/>
        <v>63.348999999999997</v>
      </c>
      <c r="L110" s="10">
        <f>SUM(L105+L106+L107+L108+L109)</f>
        <v>9125</v>
      </c>
      <c r="M110" s="10">
        <f>SUM(M105+M106+M107+M108)</f>
        <v>171</v>
      </c>
      <c r="N110" s="10">
        <f>SUM(N105+N106-N107-N108)</f>
        <v>0</v>
      </c>
      <c r="O110" s="10">
        <f>SUM(O105+O106-O107-O108)</f>
        <v>87</v>
      </c>
      <c r="P110" s="10">
        <f>SUM(P105+P106+P107+P108+P109)</f>
        <v>49288</v>
      </c>
      <c r="Q110" s="10">
        <f>SUM(Q105-Q106+Q107+Q108+Q109)</f>
        <v>4107</v>
      </c>
      <c r="R110" s="10">
        <f>SUM(R105-R106+R107+R108)</f>
        <v>152</v>
      </c>
      <c r="S110" s="10">
        <f>SUM(S105-S106+S107+S108)</f>
        <v>816</v>
      </c>
      <c r="T110" s="10">
        <f>SUM(T105+T106+T107+T108)</f>
        <v>51</v>
      </c>
      <c r="U110" s="10">
        <f>SUM(U105+U106-U107-U108)</f>
        <v>0</v>
      </c>
      <c r="V110" s="10">
        <f>SUM(V105+V106-V107-V108)</f>
        <v>32</v>
      </c>
      <c r="W110" s="10">
        <f>SUM(W105+W106-W107-W108)</f>
        <v>0</v>
      </c>
      <c r="X110" s="10">
        <f>SUM(X105+X106-X107-X108)</f>
        <v>75</v>
      </c>
      <c r="Y110" s="10">
        <f>SUM(Y105+Y106+Y107+Y108)</f>
        <v>48845</v>
      </c>
      <c r="Z110" s="10">
        <f>SUM(Z105+Z106+Z107+Z108)</f>
        <v>4070</v>
      </c>
      <c r="AA110" s="10">
        <f>SUM(AA105+AA106+AA107+AA108)</f>
        <v>27</v>
      </c>
      <c r="AB110" s="10">
        <f>SUM(AB105-AB106+AB107+AB108)</f>
        <v>907</v>
      </c>
      <c r="AC110" s="10">
        <f t="shared" ref="AC110:AL110" si="22">SUM(AC105+AC106-AC107-AC108)</f>
        <v>51</v>
      </c>
      <c r="AD110" s="10">
        <f t="shared" si="22"/>
        <v>9125</v>
      </c>
      <c r="AE110" s="10">
        <f t="shared" si="22"/>
        <v>129</v>
      </c>
      <c r="AF110" s="10">
        <f t="shared" si="22"/>
        <v>0</v>
      </c>
      <c r="AG110" s="10">
        <f t="shared" si="22"/>
        <v>0</v>
      </c>
      <c r="AH110" s="10">
        <f t="shared" si="22"/>
        <v>240</v>
      </c>
      <c r="AI110" s="10">
        <f t="shared" si="22"/>
        <v>20</v>
      </c>
      <c r="AJ110" s="10">
        <f t="shared" si="22"/>
        <v>0</v>
      </c>
      <c r="AK110" s="10">
        <f t="shared" si="22"/>
        <v>0</v>
      </c>
      <c r="AL110" s="10">
        <f t="shared" si="22"/>
        <v>24</v>
      </c>
      <c r="AM110" s="10">
        <f>SUM(AM105-AM106+AM107+AM108+AM109)</f>
        <v>2392</v>
      </c>
      <c r="AN110" s="10">
        <f>SUM(AN105-AN106+AN107+AN108+AN109)</f>
        <v>404</v>
      </c>
      <c r="AO110" s="10">
        <f>SUM(AO105-AO106+AO107+AO108)</f>
        <v>191</v>
      </c>
    </row>
    <row r="113" spans="1:41" ht="18.75" x14ac:dyDescent="0.3">
      <c r="A113" s="16" t="s">
        <v>52</v>
      </c>
      <c r="B113" s="27" t="s">
        <v>26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 t="s">
        <v>29</v>
      </c>
      <c r="M113" s="27"/>
      <c r="N113" s="27"/>
      <c r="O113" s="27"/>
      <c r="P113" s="27"/>
      <c r="Q113" s="27"/>
      <c r="R113" s="27"/>
      <c r="S113" s="27"/>
      <c r="T113" s="27"/>
      <c r="U113" s="27" t="s">
        <v>28</v>
      </c>
      <c r="V113" s="27"/>
      <c r="W113" s="27"/>
      <c r="X113" s="27"/>
      <c r="Y113" s="27"/>
      <c r="Z113" s="27"/>
      <c r="AA113" s="27"/>
      <c r="AB113" s="27"/>
      <c r="AC113" s="27"/>
      <c r="AD113" s="27" t="s">
        <v>27</v>
      </c>
      <c r="AE113" s="27"/>
      <c r="AF113" s="27"/>
      <c r="AG113" s="27"/>
      <c r="AH113" s="27"/>
      <c r="AI113" s="27"/>
      <c r="AJ113" s="27"/>
      <c r="AK113" s="27"/>
      <c r="AL113" s="27"/>
      <c r="AM113" s="27" t="s">
        <v>25</v>
      </c>
      <c r="AN113" s="27"/>
      <c r="AO113" s="27"/>
    </row>
    <row r="114" spans="1:41" ht="15" x14ac:dyDescent="0.25">
      <c r="A114" s="5" t="s">
        <v>74</v>
      </c>
      <c r="B114" s="1" t="s">
        <v>0</v>
      </c>
      <c r="C114" s="1" t="s">
        <v>1</v>
      </c>
      <c r="D114" s="1" t="s">
        <v>2</v>
      </c>
      <c r="E114" s="1" t="s">
        <v>3</v>
      </c>
      <c r="F114" s="1" t="s">
        <v>4</v>
      </c>
      <c r="G114" s="1" t="s">
        <v>5</v>
      </c>
      <c r="H114" s="1" t="s">
        <v>33</v>
      </c>
      <c r="I114" s="1" t="s">
        <v>6</v>
      </c>
      <c r="J114" s="1" t="s">
        <v>7</v>
      </c>
      <c r="K114" s="1" t="s">
        <v>8</v>
      </c>
      <c r="L114" s="1" t="s">
        <v>9</v>
      </c>
      <c r="M114" s="1" t="s">
        <v>30</v>
      </c>
      <c r="N114" s="1" t="s">
        <v>10</v>
      </c>
      <c r="O114" s="1" t="s">
        <v>11</v>
      </c>
      <c r="P114" s="1" t="s">
        <v>32</v>
      </c>
      <c r="Q114" s="1" t="s">
        <v>37</v>
      </c>
      <c r="R114" s="1" t="s">
        <v>31</v>
      </c>
      <c r="S114" s="6" t="s">
        <v>12</v>
      </c>
      <c r="T114" s="6" t="s">
        <v>13</v>
      </c>
      <c r="U114" s="6" t="s">
        <v>14</v>
      </c>
      <c r="V114" s="1" t="s">
        <v>30</v>
      </c>
      <c r="W114" s="6" t="s">
        <v>10</v>
      </c>
      <c r="X114" s="6" t="s">
        <v>15</v>
      </c>
      <c r="Y114" s="1" t="s">
        <v>32</v>
      </c>
      <c r="Z114" s="1" t="s">
        <v>37</v>
      </c>
      <c r="AA114" s="1" t="s">
        <v>31</v>
      </c>
      <c r="AB114" s="1" t="s">
        <v>12</v>
      </c>
      <c r="AC114" s="1" t="s">
        <v>13</v>
      </c>
      <c r="AD114" s="1" t="s">
        <v>9</v>
      </c>
      <c r="AE114" s="1" t="s">
        <v>30</v>
      </c>
      <c r="AF114" s="1" t="s">
        <v>10</v>
      </c>
      <c r="AG114" s="1" t="s">
        <v>11</v>
      </c>
      <c r="AH114" s="18" t="s">
        <v>32</v>
      </c>
      <c r="AI114" s="18" t="s">
        <v>37</v>
      </c>
      <c r="AJ114" s="1" t="s">
        <v>44</v>
      </c>
      <c r="AK114" s="7" t="s">
        <v>16</v>
      </c>
      <c r="AL114" s="8" t="s">
        <v>13</v>
      </c>
      <c r="AM114" s="1" t="s">
        <v>17</v>
      </c>
      <c r="AN114" s="8" t="s">
        <v>49</v>
      </c>
      <c r="AO114" s="8" t="s">
        <v>19</v>
      </c>
    </row>
    <row r="115" spans="1:41" ht="15" x14ac:dyDescent="0.25">
      <c r="A115" s="9" t="s">
        <v>20</v>
      </c>
      <c r="B115" s="10">
        <v>11101</v>
      </c>
      <c r="C115" s="10">
        <v>6839</v>
      </c>
      <c r="D115" s="10">
        <v>52887</v>
      </c>
      <c r="E115" s="10">
        <v>687</v>
      </c>
      <c r="F115" s="10">
        <v>350</v>
      </c>
      <c r="G115" s="10">
        <v>35</v>
      </c>
      <c r="H115" s="3">
        <v>0</v>
      </c>
      <c r="I115" s="25">
        <v>410</v>
      </c>
      <c r="J115" s="10">
        <v>19102</v>
      </c>
      <c r="K115" s="10">
        <v>63.348999999999997</v>
      </c>
      <c r="L115" s="10">
        <v>9125</v>
      </c>
      <c r="M115" s="10">
        <v>171</v>
      </c>
      <c r="N115" s="10">
        <v>0</v>
      </c>
      <c r="O115" s="10">
        <v>87</v>
      </c>
      <c r="P115" s="10">
        <v>49288</v>
      </c>
      <c r="Q115" s="10">
        <v>4107</v>
      </c>
      <c r="R115" s="10">
        <v>152</v>
      </c>
      <c r="S115" s="10">
        <v>816</v>
      </c>
      <c r="T115" s="10">
        <v>51</v>
      </c>
      <c r="U115" s="10">
        <v>0</v>
      </c>
      <c r="V115" s="10">
        <v>32</v>
      </c>
      <c r="W115" s="10">
        <v>0</v>
      </c>
      <c r="X115" s="10">
        <v>75</v>
      </c>
      <c r="Y115" s="10">
        <v>48845</v>
      </c>
      <c r="Z115" s="10">
        <v>4070</v>
      </c>
      <c r="AA115" s="10">
        <v>27</v>
      </c>
      <c r="AB115" s="10">
        <v>907</v>
      </c>
      <c r="AC115" s="10">
        <v>51</v>
      </c>
      <c r="AD115" s="10">
        <v>9125</v>
      </c>
      <c r="AE115" s="10">
        <v>129</v>
      </c>
      <c r="AF115" s="10">
        <v>0</v>
      </c>
      <c r="AG115" s="19">
        <v>0</v>
      </c>
      <c r="AH115" s="20">
        <v>240</v>
      </c>
      <c r="AI115" s="20">
        <v>20</v>
      </c>
      <c r="AJ115" s="21">
        <v>0</v>
      </c>
      <c r="AK115" s="10">
        <v>0</v>
      </c>
      <c r="AL115" s="10">
        <v>24</v>
      </c>
      <c r="AM115" s="10">
        <v>2392</v>
      </c>
      <c r="AN115" s="10">
        <v>404</v>
      </c>
      <c r="AO115" s="10">
        <v>191</v>
      </c>
    </row>
    <row r="116" spans="1:41" ht="15" x14ac:dyDescent="0.25">
      <c r="A116" s="9" t="s">
        <v>21</v>
      </c>
      <c r="B116" s="10">
        <v>0</v>
      </c>
      <c r="C116" s="10">
        <v>0</v>
      </c>
      <c r="D116" s="10">
        <v>25480</v>
      </c>
      <c r="E116" s="10">
        <f>SUM(619+670)</f>
        <v>1289</v>
      </c>
      <c r="F116" s="10">
        <v>0</v>
      </c>
      <c r="G116" s="10">
        <v>0</v>
      </c>
      <c r="H116" s="2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9">
        <v>0</v>
      </c>
      <c r="AH116" s="20">
        <v>0</v>
      </c>
      <c r="AI116" s="20">
        <v>0</v>
      </c>
      <c r="AJ116" s="21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</row>
    <row r="117" spans="1:41" ht="15" x14ac:dyDescent="0.25">
      <c r="A117" s="11" t="s">
        <v>22</v>
      </c>
      <c r="B117" s="12">
        <v>0</v>
      </c>
      <c r="C117" s="17">
        <v>0</v>
      </c>
      <c r="D117" s="12">
        <v>0</v>
      </c>
      <c r="E117" s="12">
        <v>0</v>
      </c>
      <c r="F117" s="12">
        <v>0</v>
      </c>
      <c r="G117" s="12">
        <v>0</v>
      </c>
      <c r="H117" s="4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0">
        <v>0</v>
      </c>
      <c r="Q117" s="10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22">
        <v>0</v>
      </c>
      <c r="AH117" s="20">
        <v>0</v>
      </c>
      <c r="AI117" s="20">
        <v>0</v>
      </c>
      <c r="AJ117" s="23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</row>
    <row r="118" spans="1:41" ht="15" x14ac:dyDescent="0.25">
      <c r="A118" s="13" t="s">
        <v>46</v>
      </c>
      <c r="B118" s="10">
        <v>0</v>
      </c>
      <c r="C118" s="10">
        <v>0</v>
      </c>
      <c r="D118" s="10">
        <v>684</v>
      </c>
      <c r="E118" s="10">
        <v>0</v>
      </c>
      <c r="F118" s="10">
        <v>0</v>
      </c>
      <c r="G118" s="10">
        <v>0</v>
      </c>
      <c r="H118" s="2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24">
        <v>0</v>
      </c>
      <c r="AI118" s="24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40</v>
      </c>
      <c r="AO118" s="15">
        <v>0</v>
      </c>
    </row>
    <row r="119" spans="1:41" ht="15" x14ac:dyDescent="0.25">
      <c r="A119" s="13" t="s">
        <v>47</v>
      </c>
      <c r="B119" s="10">
        <v>0</v>
      </c>
      <c r="C119" s="10">
        <v>0</v>
      </c>
      <c r="D119" s="10">
        <v>630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7</v>
      </c>
    </row>
    <row r="120" spans="1:41" ht="15" x14ac:dyDescent="0.25">
      <c r="A120" s="14" t="s">
        <v>24</v>
      </c>
      <c r="B120" s="10">
        <f>SUM(B115+B116-B117-B118-B119)</f>
        <v>11101</v>
      </c>
      <c r="C120" s="10">
        <f>SUM(C115+C116-C117-C118-C119)</f>
        <v>6839</v>
      </c>
      <c r="D120" s="10">
        <f>SUM(D115+D116-D117-D118-D119)</f>
        <v>77053</v>
      </c>
      <c r="E120" s="10">
        <f>SUM(E115+E116-E117-E118-E119)</f>
        <v>1976</v>
      </c>
      <c r="F120" s="10">
        <f t="shared" ref="F120:K120" si="23">SUM(F115+F116-F117-F118)</f>
        <v>350</v>
      </c>
      <c r="G120" s="10">
        <f t="shared" si="23"/>
        <v>35</v>
      </c>
      <c r="H120" s="2">
        <f t="shared" si="23"/>
        <v>0</v>
      </c>
      <c r="I120" s="10">
        <f t="shared" si="23"/>
        <v>410</v>
      </c>
      <c r="J120" s="10">
        <f t="shared" si="23"/>
        <v>19102</v>
      </c>
      <c r="K120" s="10">
        <f t="shared" si="23"/>
        <v>63.348999999999997</v>
      </c>
      <c r="L120" s="10">
        <f>SUM(L115+L116+L117+L118+L119)</f>
        <v>9125</v>
      </c>
      <c r="M120" s="10">
        <f>SUM(M115+M116+M117+M118)</f>
        <v>171</v>
      </c>
      <c r="N120" s="10">
        <f>SUM(N115+N116-N117-N118)</f>
        <v>0</v>
      </c>
      <c r="O120" s="10">
        <f>SUM(O115+O116-O117-O118)</f>
        <v>87</v>
      </c>
      <c r="P120" s="10">
        <f>SUM(P115+P116+P117+P118+P119)</f>
        <v>49288</v>
      </c>
      <c r="Q120" s="10">
        <f>SUM(Q115-Q116+Q117+Q118+Q119)</f>
        <v>4107</v>
      </c>
      <c r="R120" s="10">
        <f>SUM(R115-R116+R117+R118)</f>
        <v>152</v>
      </c>
      <c r="S120" s="10">
        <f>SUM(S115-S116+S117+S118)</f>
        <v>816</v>
      </c>
      <c r="T120" s="10">
        <f>SUM(T115+T116+T117+T118)</f>
        <v>51</v>
      </c>
      <c r="U120" s="10">
        <f>SUM(U115+U116-U117-U118)</f>
        <v>0</v>
      </c>
      <c r="V120" s="10">
        <f>SUM(V115+V116-V117-V118)</f>
        <v>32</v>
      </c>
      <c r="W120" s="10">
        <f>SUM(W115+W116-W117-W118)</f>
        <v>0</v>
      </c>
      <c r="X120" s="10">
        <f>SUM(X115+X116-X117-X118)</f>
        <v>75</v>
      </c>
      <c r="Y120" s="10">
        <f>SUM(Y115+Y116+Y117+Y118)</f>
        <v>48845</v>
      </c>
      <c r="Z120" s="10">
        <f>SUM(Z115+Z116+Z117+Z118)</f>
        <v>4070</v>
      </c>
      <c r="AA120" s="10">
        <f>SUM(AA115+AA116+AA117+AA118)</f>
        <v>27</v>
      </c>
      <c r="AB120" s="10">
        <f>SUM(AB115-AB116+AB117+AB118)</f>
        <v>907</v>
      </c>
      <c r="AC120" s="10">
        <f t="shared" ref="AC120:AL120" si="24">SUM(AC115+AC116-AC117-AC118)</f>
        <v>51</v>
      </c>
      <c r="AD120" s="10">
        <f t="shared" si="24"/>
        <v>9125</v>
      </c>
      <c r="AE120" s="10">
        <f t="shared" si="24"/>
        <v>129</v>
      </c>
      <c r="AF120" s="10">
        <f t="shared" si="24"/>
        <v>0</v>
      </c>
      <c r="AG120" s="10">
        <f t="shared" si="24"/>
        <v>0</v>
      </c>
      <c r="AH120" s="10">
        <f t="shared" si="24"/>
        <v>240</v>
      </c>
      <c r="AI120" s="10">
        <f t="shared" si="24"/>
        <v>20</v>
      </c>
      <c r="AJ120" s="10">
        <f t="shared" si="24"/>
        <v>0</v>
      </c>
      <c r="AK120" s="10">
        <f t="shared" si="24"/>
        <v>0</v>
      </c>
      <c r="AL120" s="10">
        <f t="shared" si="24"/>
        <v>24</v>
      </c>
      <c r="AM120" s="10">
        <f>SUM(AM115-AM116+AM117+AM118+AM119)</f>
        <v>2392</v>
      </c>
      <c r="AN120" s="10">
        <f>SUM(AN115-AN116+AN117+AN118+AN119)</f>
        <v>444</v>
      </c>
      <c r="AO120" s="10">
        <f>SUM(AO115-AO116+AO117+AO118)</f>
        <v>191</v>
      </c>
    </row>
    <row r="123" spans="1:41" ht="18.75" x14ac:dyDescent="0.3">
      <c r="A123" s="16" t="s">
        <v>53</v>
      </c>
      <c r="B123" s="27" t="s">
        <v>26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 t="s">
        <v>29</v>
      </c>
      <c r="M123" s="27"/>
      <c r="N123" s="27"/>
      <c r="O123" s="27"/>
      <c r="P123" s="27"/>
      <c r="Q123" s="27"/>
      <c r="R123" s="27"/>
      <c r="S123" s="27"/>
      <c r="T123" s="27"/>
      <c r="U123" s="27" t="s">
        <v>28</v>
      </c>
      <c r="V123" s="27"/>
      <c r="W123" s="27"/>
      <c r="X123" s="27"/>
      <c r="Y123" s="27"/>
      <c r="Z123" s="27"/>
      <c r="AA123" s="27"/>
      <c r="AB123" s="27"/>
      <c r="AC123" s="27"/>
      <c r="AD123" s="27" t="s">
        <v>27</v>
      </c>
      <c r="AE123" s="27"/>
      <c r="AF123" s="27"/>
      <c r="AG123" s="27"/>
      <c r="AH123" s="27"/>
      <c r="AI123" s="27"/>
      <c r="AJ123" s="27"/>
      <c r="AK123" s="27"/>
      <c r="AL123" s="27"/>
      <c r="AM123" s="27" t="s">
        <v>25</v>
      </c>
      <c r="AN123" s="27"/>
      <c r="AO123" s="27"/>
    </row>
    <row r="124" spans="1:41" ht="15" x14ac:dyDescent="0.25">
      <c r="A124" s="5" t="s">
        <v>74</v>
      </c>
      <c r="B124" s="1" t="s">
        <v>0</v>
      </c>
      <c r="C124" s="1" t="s">
        <v>1</v>
      </c>
      <c r="D124" s="1" t="s">
        <v>2</v>
      </c>
      <c r="E124" s="1" t="s">
        <v>3</v>
      </c>
      <c r="F124" s="1" t="s">
        <v>4</v>
      </c>
      <c r="G124" s="1" t="s">
        <v>5</v>
      </c>
      <c r="H124" s="1" t="s">
        <v>33</v>
      </c>
      <c r="I124" s="1" t="s">
        <v>6</v>
      </c>
      <c r="J124" s="1" t="s">
        <v>7</v>
      </c>
      <c r="K124" s="1" t="s">
        <v>8</v>
      </c>
      <c r="L124" s="1" t="s">
        <v>9</v>
      </c>
      <c r="M124" s="1" t="s">
        <v>30</v>
      </c>
      <c r="N124" s="1" t="s">
        <v>10</v>
      </c>
      <c r="O124" s="1" t="s">
        <v>11</v>
      </c>
      <c r="P124" s="1" t="s">
        <v>32</v>
      </c>
      <c r="Q124" s="1" t="s">
        <v>37</v>
      </c>
      <c r="R124" s="1" t="s">
        <v>31</v>
      </c>
      <c r="S124" s="6" t="s">
        <v>12</v>
      </c>
      <c r="T124" s="6" t="s">
        <v>13</v>
      </c>
      <c r="U124" s="6" t="s">
        <v>14</v>
      </c>
      <c r="V124" s="1" t="s">
        <v>30</v>
      </c>
      <c r="W124" s="6" t="s">
        <v>10</v>
      </c>
      <c r="X124" s="6" t="s">
        <v>15</v>
      </c>
      <c r="Y124" s="1" t="s">
        <v>32</v>
      </c>
      <c r="Z124" s="1" t="s">
        <v>37</v>
      </c>
      <c r="AA124" s="1" t="s">
        <v>31</v>
      </c>
      <c r="AB124" s="1" t="s">
        <v>12</v>
      </c>
      <c r="AC124" s="1" t="s">
        <v>13</v>
      </c>
      <c r="AD124" s="1" t="s">
        <v>9</v>
      </c>
      <c r="AE124" s="1" t="s">
        <v>30</v>
      </c>
      <c r="AF124" s="1" t="s">
        <v>10</v>
      </c>
      <c r="AG124" s="1" t="s">
        <v>11</v>
      </c>
      <c r="AH124" s="18" t="s">
        <v>32</v>
      </c>
      <c r="AI124" s="18" t="s">
        <v>37</v>
      </c>
      <c r="AJ124" s="1" t="s">
        <v>44</v>
      </c>
      <c r="AK124" s="7" t="s">
        <v>16</v>
      </c>
      <c r="AL124" s="8" t="s">
        <v>13</v>
      </c>
      <c r="AM124" s="1" t="s">
        <v>17</v>
      </c>
      <c r="AN124" s="8" t="s">
        <v>49</v>
      </c>
      <c r="AO124" s="8" t="s">
        <v>19</v>
      </c>
    </row>
    <row r="125" spans="1:41" ht="15" x14ac:dyDescent="0.25">
      <c r="A125" s="9" t="s">
        <v>20</v>
      </c>
      <c r="B125" s="10">
        <v>11101</v>
      </c>
      <c r="C125" s="10">
        <v>6839</v>
      </c>
      <c r="D125" s="10">
        <v>77053</v>
      </c>
      <c r="E125" s="10">
        <v>1976</v>
      </c>
      <c r="F125" s="10">
        <v>350</v>
      </c>
      <c r="G125" s="10">
        <v>35</v>
      </c>
      <c r="H125" s="3">
        <v>0</v>
      </c>
      <c r="I125" s="25">
        <v>410</v>
      </c>
      <c r="J125" s="10">
        <v>19102</v>
      </c>
      <c r="K125" s="10">
        <v>63.348999999999997</v>
      </c>
      <c r="L125" s="10">
        <v>9125</v>
      </c>
      <c r="M125" s="10">
        <v>171</v>
      </c>
      <c r="N125" s="10">
        <v>0</v>
      </c>
      <c r="O125" s="10">
        <v>87</v>
      </c>
      <c r="P125" s="10">
        <v>49288</v>
      </c>
      <c r="Q125" s="10">
        <v>4107</v>
      </c>
      <c r="R125" s="10">
        <v>152</v>
      </c>
      <c r="S125" s="10">
        <v>816</v>
      </c>
      <c r="T125" s="10">
        <v>51</v>
      </c>
      <c r="U125" s="10">
        <v>0</v>
      </c>
      <c r="V125" s="10">
        <v>32</v>
      </c>
      <c r="W125" s="10">
        <v>0</v>
      </c>
      <c r="X125" s="10">
        <v>75</v>
      </c>
      <c r="Y125" s="10">
        <v>48845</v>
      </c>
      <c r="Z125" s="10">
        <v>4070</v>
      </c>
      <c r="AA125" s="10">
        <v>27</v>
      </c>
      <c r="AB125" s="10">
        <v>907</v>
      </c>
      <c r="AC125" s="10">
        <v>51</v>
      </c>
      <c r="AD125" s="10">
        <v>9125</v>
      </c>
      <c r="AE125" s="10">
        <v>129</v>
      </c>
      <c r="AF125" s="10">
        <v>0</v>
      </c>
      <c r="AG125" s="19">
        <v>0</v>
      </c>
      <c r="AH125" s="20">
        <v>240</v>
      </c>
      <c r="AI125" s="20">
        <v>20</v>
      </c>
      <c r="AJ125" s="21">
        <v>0</v>
      </c>
      <c r="AK125" s="10">
        <v>0</v>
      </c>
      <c r="AL125" s="10">
        <v>24</v>
      </c>
      <c r="AM125" s="10">
        <v>2392</v>
      </c>
      <c r="AN125" s="10">
        <v>444</v>
      </c>
      <c r="AO125" s="10">
        <v>191</v>
      </c>
    </row>
    <row r="126" spans="1:41" ht="15" x14ac:dyDescent="0.25">
      <c r="A126" s="9" t="s">
        <v>21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2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9">
        <v>0</v>
      </c>
      <c r="AH126" s="20">
        <v>0</v>
      </c>
      <c r="AI126" s="20">
        <v>0</v>
      </c>
      <c r="AJ126" s="21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</row>
    <row r="127" spans="1:41" ht="15" x14ac:dyDescent="0.25">
      <c r="A127" s="11" t="s">
        <v>22</v>
      </c>
      <c r="B127" s="12">
        <v>0</v>
      </c>
      <c r="C127" s="17">
        <v>0</v>
      </c>
      <c r="D127" s="12">
        <v>0</v>
      </c>
      <c r="E127" s="12">
        <v>0</v>
      </c>
      <c r="F127" s="12">
        <v>0</v>
      </c>
      <c r="G127" s="12">
        <v>0</v>
      </c>
      <c r="H127" s="4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0">
        <v>0</v>
      </c>
      <c r="Q127" s="10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25</v>
      </c>
      <c r="AE127" s="12">
        <v>0</v>
      </c>
      <c r="AF127" s="12">
        <v>0</v>
      </c>
      <c r="AG127" s="22">
        <v>0</v>
      </c>
      <c r="AH127" s="20">
        <v>0</v>
      </c>
      <c r="AI127" s="20">
        <v>0</v>
      </c>
      <c r="AJ127" s="23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</row>
    <row r="128" spans="1:41" ht="15" x14ac:dyDescent="0.25">
      <c r="A128" s="13" t="s">
        <v>46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2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24">
        <v>0</v>
      </c>
      <c r="AI128" s="24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5">
        <v>0</v>
      </c>
    </row>
    <row r="129" spans="1:41" ht="15" x14ac:dyDescent="0.25">
      <c r="A129" s="13" t="s">
        <v>47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92</v>
      </c>
      <c r="AO129" s="10">
        <v>0</v>
      </c>
    </row>
    <row r="130" spans="1:41" ht="15" x14ac:dyDescent="0.25">
      <c r="A130" s="14" t="s">
        <v>24</v>
      </c>
      <c r="B130" s="10">
        <f>SUM(B125+B126-B127-B128-B129)</f>
        <v>11101</v>
      </c>
      <c r="C130" s="10">
        <f>SUM(C125+C126-C127-C128-C129)</f>
        <v>6839</v>
      </c>
      <c r="D130" s="10">
        <f>SUM(D125+D126-D127-D128-D129)</f>
        <v>77053</v>
      </c>
      <c r="E130" s="10">
        <f>SUM(E125+E126-E127-E128-E129)</f>
        <v>1976</v>
      </c>
      <c r="F130" s="10">
        <f t="shared" ref="F130:K130" si="25">SUM(F125+F126-F127-F128)</f>
        <v>350</v>
      </c>
      <c r="G130" s="10">
        <f t="shared" si="25"/>
        <v>35</v>
      </c>
      <c r="H130" s="2">
        <f t="shared" si="25"/>
        <v>0</v>
      </c>
      <c r="I130" s="10">
        <f t="shared" si="25"/>
        <v>410</v>
      </c>
      <c r="J130" s="10">
        <f t="shared" si="25"/>
        <v>19102</v>
      </c>
      <c r="K130" s="10">
        <f t="shared" si="25"/>
        <v>63.348999999999997</v>
      </c>
      <c r="L130" s="10">
        <f>SUM(L125+L126+L127+L128+L129)</f>
        <v>9125</v>
      </c>
      <c r="M130" s="10">
        <f>SUM(M125+M126+M127+M128)</f>
        <v>171</v>
      </c>
      <c r="N130" s="10">
        <f>SUM(N125+N126-N127-N128)</f>
        <v>0</v>
      </c>
      <c r="O130" s="10">
        <f>SUM(O125+O126-O127-O128)</f>
        <v>87</v>
      </c>
      <c r="P130" s="10">
        <f>SUM(P125+P126+P127+P128+P129)</f>
        <v>49288</v>
      </c>
      <c r="Q130" s="10">
        <f>SUM(Q125-Q126+Q127+Q128+Q129)</f>
        <v>4107</v>
      </c>
      <c r="R130" s="10">
        <f>SUM(R125-R126+R127+R128)</f>
        <v>152</v>
      </c>
      <c r="S130" s="10">
        <f>SUM(S125-S126+S127+S128)</f>
        <v>816</v>
      </c>
      <c r="T130" s="10">
        <f>SUM(T125+T126+T127+T128)</f>
        <v>51</v>
      </c>
      <c r="U130" s="10">
        <f>SUM(U125+U126-U127-U128)</f>
        <v>0</v>
      </c>
      <c r="V130" s="10">
        <f>SUM(V125+V126-V127-V128)</f>
        <v>32</v>
      </c>
      <c r="W130" s="10">
        <f>SUM(W125+W126-W127-W128)</f>
        <v>0</v>
      </c>
      <c r="X130" s="10">
        <f>SUM(X125+X126-X127-X128)</f>
        <v>75</v>
      </c>
      <c r="Y130" s="10">
        <f>SUM(Y125+Y126+Y127+Y128)</f>
        <v>48845</v>
      </c>
      <c r="Z130" s="10">
        <f>SUM(Z125+Z126+Z127+Z128)</f>
        <v>4070</v>
      </c>
      <c r="AA130" s="10">
        <f>SUM(AA125+AA126+AA127+AA128)</f>
        <v>27</v>
      </c>
      <c r="AB130" s="10">
        <f>SUM(AB125-AB126+AB127+AB128)</f>
        <v>907</v>
      </c>
      <c r="AC130" s="10">
        <f t="shared" ref="AC130:AL130" si="26">SUM(AC125+AC126-AC127-AC128)</f>
        <v>51</v>
      </c>
      <c r="AD130" s="10">
        <f t="shared" si="26"/>
        <v>9100</v>
      </c>
      <c r="AE130" s="10">
        <f t="shared" si="26"/>
        <v>129</v>
      </c>
      <c r="AF130" s="10">
        <f t="shared" si="26"/>
        <v>0</v>
      </c>
      <c r="AG130" s="10">
        <f t="shared" si="26"/>
        <v>0</v>
      </c>
      <c r="AH130" s="10">
        <f t="shared" si="26"/>
        <v>240</v>
      </c>
      <c r="AI130" s="10">
        <f t="shared" si="26"/>
        <v>20</v>
      </c>
      <c r="AJ130" s="10">
        <f t="shared" si="26"/>
        <v>0</v>
      </c>
      <c r="AK130" s="10">
        <f t="shared" si="26"/>
        <v>0</v>
      </c>
      <c r="AL130" s="10">
        <f t="shared" si="26"/>
        <v>24</v>
      </c>
      <c r="AM130" s="10">
        <f>SUM(AM125-AM126+AM127+AM128+AM129)</f>
        <v>2392</v>
      </c>
      <c r="AN130" s="10">
        <f>SUM(AN125-AN126+AN127+AN128+AN129)</f>
        <v>536</v>
      </c>
      <c r="AO130" s="10">
        <f>SUM(AO125-AO126+AO127+AO128)</f>
        <v>191</v>
      </c>
    </row>
    <row r="133" spans="1:41" ht="18.75" x14ac:dyDescent="0.3">
      <c r="A133" s="16" t="s">
        <v>54</v>
      </c>
      <c r="B133" s="27" t="s">
        <v>26</v>
      </c>
      <c r="C133" s="27"/>
      <c r="D133" s="27"/>
      <c r="E133" s="27"/>
      <c r="F133" s="27"/>
      <c r="G133" s="27"/>
      <c r="H133" s="27"/>
      <c r="I133" s="27"/>
      <c r="J133" s="27"/>
      <c r="K133" s="27"/>
      <c r="L133" s="27" t="s">
        <v>29</v>
      </c>
      <c r="M133" s="27"/>
      <c r="N133" s="27"/>
      <c r="O133" s="27"/>
      <c r="P133" s="27"/>
      <c r="Q133" s="27"/>
      <c r="R133" s="27"/>
      <c r="S133" s="27"/>
      <c r="T133" s="27"/>
      <c r="U133" s="27" t="s">
        <v>28</v>
      </c>
      <c r="V133" s="27"/>
      <c r="W133" s="27"/>
      <c r="X133" s="27"/>
      <c r="Y133" s="27"/>
      <c r="Z133" s="27"/>
      <c r="AA133" s="27"/>
      <c r="AB133" s="27"/>
      <c r="AC133" s="27"/>
      <c r="AD133" s="27" t="s">
        <v>27</v>
      </c>
      <c r="AE133" s="27"/>
      <c r="AF133" s="27"/>
      <c r="AG133" s="27"/>
      <c r="AH133" s="27"/>
      <c r="AI133" s="27"/>
      <c r="AJ133" s="27"/>
      <c r="AK133" s="27"/>
      <c r="AL133" s="27"/>
      <c r="AM133" s="27" t="s">
        <v>25</v>
      </c>
      <c r="AN133" s="27"/>
      <c r="AO133" s="27"/>
    </row>
    <row r="134" spans="1:41" ht="15" x14ac:dyDescent="0.25">
      <c r="A134" s="5" t="s">
        <v>74</v>
      </c>
      <c r="B134" s="1" t="s">
        <v>0</v>
      </c>
      <c r="C134" s="1" t="s">
        <v>1</v>
      </c>
      <c r="D134" s="1" t="s">
        <v>2</v>
      </c>
      <c r="E134" s="1" t="s">
        <v>3</v>
      </c>
      <c r="F134" s="1" t="s">
        <v>4</v>
      </c>
      <c r="G134" s="1" t="s">
        <v>5</v>
      </c>
      <c r="H134" s="1" t="s">
        <v>33</v>
      </c>
      <c r="I134" s="1" t="s">
        <v>6</v>
      </c>
      <c r="J134" s="1" t="s">
        <v>7</v>
      </c>
      <c r="K134" s="1" t="s">
        <v>8</v>
      </c>
      <c r="L134" s="1" t="s">
        <v>9</v>
      </c>
      <c r="M134" s="1" t="s">
        <v>30</v>
      </c>
      <c r="N134" s="1" t="s">
        <v>10</v>
      </c>
      <c r="O134" s="1" t="s">
        <v>11</v>
      </c>
      <c r="P134" s="1" t="s">
        <v>32</v>
      </c>
      <c r="Q134" s="1" t="s">
        <v>37</v>
      </c>
      <c r="R134" s="1" t="s">
        <v>31</v>
      </c>
      <c r="S134" s="6" t="s">
        <v>12</v>
      </c>
      <c r="T134" s="6" t="s">
        <v>13</v>
      </c>
      <c r="U134" s="6" t="s">
        <v>14</v>
      </c>
      <c r="V134" s="1" t="s">
        <v>30</v>
      </c>
      <c r="W134" s="6" t="s">
        <v>10</v>
      </c>
      <c r="X134" s="6" t="s">
        <v>15</v>
      </c>
      <c r="Y134" s="1" t="s">
        <v>32</v>
      </c>
      <c r="Z134" s="1" t="s">
        <v>37</v>
      </c>
      <c r="AA134" s="1" t="s">
        <v>31</v>
      </c>
      <c r="AB134" s="1" t="s">
        <v>12</v>
      </c>
      <c r="AC134" s="1" t="s">
        <v>13</v>
      </c>
      <c r="AD134" s="1" t="s">
        <v>9</v>
      </c>
      <c r="AE134" s="1" t="s">
        <v>30</v>
      </c>
      <c r="AF134" s="1" t="s">
        <v>10</v>
      </c>
      <c r="AG134" s="1" t="s">
        <v>11</v>
      </c>
      <c r="AH134" s="18" t="s">
        <v>32</v>
      </c>
      <c r="AI134" s="18" t="s">
        <v>37</v>
      </c>
      <c r="AJ134" s="1" t="s">
        <v>44</v>
      </c>
      <c r="AK134" s="7" t="s">
        <v>16</v>
      </c>
      <c r="AL134" s="8" t="s">
        <v>13</v>
      </c>
      <c r="AM134" s="1" t="s">
        <v>17</v>
      </c>
      <c r="AN134" s="8" t="s">
        <v>49</v>
      </c>
      <c r="AO134" s="8" t="s">
        <v>19</v>
      </c>
    </row>
    <row r="135" spans="1:41" ht="15" x14ac:dyDescent="0.25">
      <c r="A135" s="9" t="s">
        <v>20</v>
      </c>
      <c r="B135" s="10">
        <v>11101</v>
      </c>
      <c r="C135" s="10">
        <v>6839</v>
      </c>
      <c r="D135" s="10">
        <v>77053</v>
      </c>
      <c r="E135" s="10">
        <v>1976</v>
      </c>
      <c r="F135" s="10">
        <v>350</v>
      </c>
      <c r="G135" s="10">
        <v>35</v>
      </c>
      <c r="H135" s="3">
        <v>0</v>
      </c>
      <c r="I135" s="25">
        <v>410</v>
      </c>
      <c r="J135" s="10">
        <v>19102</v>
      </c>
      <c r="K135" s="10">
        <v>63.348999999999997</v>
      </c>
      <c r="L135" s="10">
        <v>9125</v>
      </c>
      <c r="M135" s="10">
        <v>171</v>
      </c>
      <c r="N135" s="10">
        <v>0</v>
      </c>
      <c r="O135" s="10">
        <v>87</v>
      </c>
      <c r="P135" s="10">
        <v>49288</v>
      </c>
      <c r="Q135" s="10">
        <v>4107</v>
      </c>
      <c r="R135" s="10">
        <v>152</v>
      </c>
      <c r="S135" s="10">
        <v>816</v>
      </c>
      <c r="T135" s="10">
        <v>51</v>
      </c>
      <c r="U135" s="10">
        <v>0</v>
      </c>
      <c r="V135" s="10">
        <v>32</v>
      </c>
      <c r="W135" s="10">
        <v>0</v>
      </c>
      <c r="X135" s="10">
        <v>75</v>
      </c>
      <c r="Y135" s="10">
        <v>48845</v>
      </c>
      <c r="Z135" s="10">
        <v>4070</v>
      </c>
      <c r="AA135" s="10">
        <v>27</v>
      </c>
      <c r="AB135" s="10">
        <v>907</v>
      </c>
      <c r="AC135" s="10">
        <v>51</v>
      </c>
      <c r="AD135" s="10">
        <v>9100</v>
      </c>
      <c r="AE135" s="10">
        <v>129</v>
      </c>
      <c r="AF135" s="10">
        <v>0</v>
      </c>
      <c r="AG135" s="19">
        <v>0</v>
      </c>
      <c r="AH135" s="20">
        <v>240</v>
      </c>
      <c r="AI135" s="20">
        <v>20</v>
      </c>
      <c r="AJ135" s="21">
        <v>0</v>
      </c>
      <c r="AK135" s="10">
        <v>0</v>
      </c>
      <c r="AL135" s="10">
        <v>24</v>
      </c>
      <c r="AM135" s="10">
        <v>2392</v>
      </c>
      <c r="AN135" s="10">
        <v>536</v>
      </c>
      <c r="AO135" s="10">
        <v>191</v>
      </c>
    </row>
    <row r="136" spans="1:41" ht="15" x14ac:dyDescent="0.25">
      <c r="A136" s="9" t="s">
        <v>21</v>
      </c>
      <c r="B136" s="10">
        <v>12900</v>
      </c>
      <c r="C136" s="10">
        <v>0</v>
      </c>
      <c r="D136" s="10">
        <v>0</v>
      </c>
      <c r="E136" s="10">
        <v>180</v>
      </c>
      <c r="F136" s="10">
        <v>0</v>
      </c>
      <c r="G136" s="10">
        <v>0</v>
      </c>
      <c r="H136" s="2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9">
        <v>0</v>
      </c>
      <c r="AH136" s="20">
        <v>0</v>
      </c>
      <c r="AI136" s="20">
        <v>0</v>
      </c>
      <c r="AJ136" s="21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</row>
    <row r="137" spans="1:41" ht="15" x14ac:dyDescent="0.25">
      <c r="A137" s="11" t="s">
        <v>22</v>
      </c>
      <c r="B137" s="12">
        <v>0</v>
      </c>
      <c r="C137" s="17">
        <v>0</v>
      </c>
      <c r="D137" s="12">
        <v>190</v>
      </c>
      <c r="E137" s="12">
        <v>0</v>
      </c>
      <c r="F137" s="12">
        <v>0</v>
      </c>
      <c r="G137" s="12">
        <v>0</v>
      </c>
      <c r="H137" s="4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0">
        <v>0</v>
      </c>
      <c r="Q137" s="10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72</v>
      </c>
      <c r="Z137" s="12">
        <v>6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22">
        <v>0</v>
      </c>
      <c r="AH137" s="20">
        <v>72</v>
      </c>
      <c r="AI137" s="20">
        <v>6</v>
      </c>
      <c r="AJ137" s="23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</row>
    <row r="138" spans="1:41" ht="15" x14ac:dyDescent="0.25">
      <c r="A138" s="13" t="s">
        <v>46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2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24">
        <v>0</v>
      </c>
      <c r="AI138" s="24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5">
        <v>0</v>
      </c>
    </row>
    <row r="139" spans="1:41" ht="15" x14ac:dyDescent="0.25">
      <c r="A139" s="14" t="s">
        <v>24</v>
      </c>
      <c r="B139" s="10">
        <f>SUM(B135+B136-B137)</f>
        <v>24001</v>
      </c>
      <c r="C139" s="10">
        <f t="shared" ref="C139:K139" si="27">SUM(C135+C136-C137-C138)</f>
        <v>6839</v>
      </c>
      <c r="D139" s="10">
        <f t="shared" si="27"/>
        <v>76863</v>
      </c>
      <c r="E139" s="10">
        <f t="shared" si="27"/>
        <v>2156</v>
      </c>
      <c r="F139" s="10">
        <f t="shared" si="27"/>
        <v>350</v>
      </c>
      <c r="G139" s="10">
        <f t="shared" si="27"/>
        <v>35</v>
      </c>
      <c r="H139" s="2">
        <f t="shared" si="27"/>
        <v>0</v>
      </c>
      <c r="I139" s="10">
        <f t="shared" si="27"/>
        <v>410</v>
      </c>
      <c r="J139" s="10">
        <f t="shared" si="27"/>
        <v>19102</v>
      </c>
      <c r="K139" s="10">
        <f t="shared" si="27"/>
        <v>63.348999999999997</v>
      </c>
      <c r="L139" s="10">
        <f>SUM(L135+L136+L137)</f>
        <v>9125</v>
      </c>
      <c r="M139" s="10">
        <f>SUM(M135+M136+M137+M138)</f>
        <v>171</v>
      </c>
      <c r="N139" s="10">
        <f>SUM(N135+N136-N137-N138)</f>
        <v>0</v>
      </c>
      <c r="O139" s="10">
        <f>SUM(O135+O136-O137-O138)</f>
        <v>87</v>
      </c>
      <c r="P139" s="10">
        <f>SUM(P135+P136+P137)</f>
        <v>49288</v>
      </c>
      <c r="Q139" s="10">
        <f>SUM(Q135-Q136+Q137)</f>
        <v>4107</v>
      </c>
      <c r="R139" s="10">
        <f>SUM(R135-R136+R137+R138)</f>
        <v>152</v>
      </c>
      <c r="S139" s="10">
        <f>SUM(S135-S136+S137+S138)</f>
        <v>816</v>
      </c>
      <c r="T139" s="10">
        <f>SUM(T135+T136+T137+T138)</f>
        <v>51</v>
      </c>
      <c r="U139" s="10">
        <f>SUM(U135+U136-U137-U138)</f>
        <v>0</v>
      </c>
      <c r="V139" s="10">
        <f>SUM(V135+V136-V137-V138)</f>
        <v>32</v>
      </c>
      <c r="W139" s="10">
        <f>SUM(W135+W136-W137-W138)</f>
        <v>0</v>
      </c>
      <c r="X139" s="10">
        <f>SUM(X135+X136-X137-X138)</f>
        <v>75</v>
      </c>
      <c r="Y139" s="10">
        <f>SUM(Y135+Y136+Y137+Y138)</f>
        <v>48917</v>
      </c>
      <c r="Z139" s="10">
        <f>SUM(Z135+Z136+Z137+Z138)</f>
        <v>4076</v>
      </c>
      <c r="AA139" s="10">
        <f>SUM(AA135+AA136+AA137+AA138)</f>
        <v>27</v>
      </c>
      <c r="AB139" s="10">
        <f>SUM(AB135-AB136+AB137+AB138)</f>
        <v>907</v>
      </c>
      <c r="AC139" s="10">
        <f t="shared" ref="AC139:AL139" si="28">SUM(AC135+AC136-AC137-AC138)</f>
        <v>51</v>
      </c>
      <c r="AD139" s="10">
        <f t="shared" si="28"/>
        <v>9100</v>
      </c>
      <c r="AE139" s="10">
        <f t="shared" si="28"/>
        <v>129</v>
      </c>
      <c r="AF139" s="10">
        <f t="shared" si="28"/>
        <v>0</v>
      </c>
      <c r="AG139" s="10">
        <f t="shared" si="28"/>
        <v>0</v>
      </c>
      <c r="AH139" s="10">
        <f t="shared" si="28"/>
        <v>168</v>
      </c>
      <c r="AI139" s="10">
        <f t="shared" si="28"/>
        <v>14</v>
      </c>
      <c r="AJ139" s="10">
        <f t="shared" si="28"/>
        <v>0</v>
      </c>
      <c r="AK139" s="10">
        <f t="shared" si="28"/>
        <v>0</v>
      </c>
      <c r="AL139" s="10">
        <f t="shared" si="28"/>
        <v>24</v>
      </c>
      <c r="AM139" s="10">
        <f>SUM(AM135-AM136+AM137)</f>
        <v>2392</v>
      </c>
      <c r="AN139" s="10">
        <f>SUM(AN135-AN136+AN137)</f>
        <v>536</v>
      </c>
      <c r="AO139" s="10">
        <f>SUM(AO135-AO136+AO137+AO138)</f>
        <v>191</v>
      </c>
    </row>
    <row r="142" spans="1:41" ht="18.75" x14ac:dyDescent="0.3">
      <c r="A142" s="16" t="s">
        <v>55</v>
      </c>
      <c r="B142" s="27" t="s">
        <v>26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 t="s">
        <v>29</v>
      </c>
      <c r="M142" s="27"/>
      <c r="N142" s="27"/>
      <c r="O142" s="27"/>
      <c r="P142" s="27"/>
      <c r="Q142" s="27"/>
      <c r="R142" s="27"/>
      <c r="S142" s="27"/>
      <c r="T142" s="27"/>
      <c r="U142" s="27" t="s">
        <v>28</v>
      </c>
      <c r="V142" s="27"/>
      <c r="W142" s="27"/>
      <c r="X142" s="27"/>
      <c r="Y142" s="27"/>
      <c r="Z142" s="27"/>
      <c r="AA142" s="27"/>
      <c r="AB142" s="27"/>
      <c r="AC142" s="27"/>
      <c r="AD142" s="27" t="s">
        <v>27</v>
      </c>
      <c r="AE142" s="27"/>
      <c r="AF142" s="27"/>
      <c r="AG142" s="27"/>
      <c r="AH142" s="27"/>
      <c r="AI142" s="27"/>
      <c r="AJ142" s="27"/>
      <c r="AK142" s="27"/>
      <c r="AL142" s="27"/>
      <c r="AM142" s="27" t="s">
        <v>25</v>
      </c>
      <c r="AN142" s="27"/>
      <c r="AO142" s="27"/>
    </row>
    <row r="143" spans="1:41" ht="15" x14ac:dyDescent="0.25">
      <c r="A143" s="5" t="s">
        <v>74</v>
      </c>
      <c r="B143" s="1" t="s">
        <v>0</v>
      </c>
      <c r="C143" s="1" t="s">
        <v>1</v>
      </c>
      <c r="D143" s="1" t="s">
        <v>2</v>
      </c>
      <c r="E143" s="1" t="s">
        <v>3</v>
      </c>
      <c r="F143" s="1" t="s">
        <v>4</v>
      </c>
      <c r="G143" s="1" t="s">
        <v>5</v>
      </c>
      <c r="H143" s="1" t="s">
        <v>33</v>
      </c>
      <c r="I143" s="1" t="s">
        <v>6</v>
      </c>
      <c r="J143" s="1" t="s">
        <v>7</v>
      </c>
      <c r="K143" s="1" t="s">
        <v>8</v>
      </c>
      <c r="L143" s="1" t="s">
        <v>9</v>
      </c>
      <c r="M143" s="1" t="s">
        <v>30</v>
      </c>
      <c r="N143" s="1" t="s">
        <v>10</v>
      </c>
      <c r="O143" s="1" t="s">
        <v>11</v>
      </c>
      <c r="P143" s="1" t="s">
        <v>32</v>
      </c>
      <c r="Q143" s="1" t="s">
        <v>37</v>
      </c>
      <c r="R143" s="1" t="s">
        <v>31</v>
      </c>
      <c r="S143" s="6" t="s">
        <v>12</v>
      </c>
      <c r="T143" s="6" t="s">
        <v>13</v>
      </c>
      <c r="U143" s="6" t="s">
        <v>14</v>
      </c>
      <c r="V143" s="1" t="s">
        <v>30</v>
      </c>
      <c r="W143" s="6" t="s">
        <v>10</v>
      </c>
      <c r="X143" s="6" t="s">
        <v>15</v>
      </c>
      <c r="Y143" s="1" t="s">
        <v>32</v>
      </c>
      <c r="Z143" s="1" t="s">
        <v>37</v>
      </c>
      <c r="AA143" s="1" t="s">
        <v>31</v>
      </c>
      <c r="AB143" s="1" t="s">
        <v>12</v>
      </c>
      <c r="AC143" s="1" t="s">
        <v>13</v>
      </c>
      <c r="AD143" s="1" t="s">
        <v>9</v>
      </c>
      <c r="AE143" s="1" t="s">
        <v>30</v>
      </c>
      <c r="AF143" s="1" t="s">
        <v>10</v>
      </c>
      <c r="AG143" s="1" t="s">
        <v>11</v>
      </c>
      <c r="AH143" s="18" t="s">
        <v>32</v>
      </c>
      <c r="AI143" s="18" t="s">
        <v>37</v>
      </c>
      <c r="AJ143" s="1" t="s">
        <v>44</v>
      </c>
      <c r="AK143" s="7" t="s">
        <v>16</v>
      </c>
      <c r="AL143" s="8" t="s">
        <v>13</v>
      </c>
      <c r="AM143" s="1" t="s">
        <v>17</v>
      </c>
      <c r="AN143" s="8" t="s">
        <v>49</v>
      </c>
      <c r="AO143" s="8" t="s">
        <v>19</v>
      </c>
    </row>
    <row r="144" spans="1:41" ht="15" x14ac:dyDescent="0.25">
      <c r="A144" s="9" t="s">
        <v>20</v>
      </c>
      <c r="B144" s="10">
        <v>24001</v>
      </c>
      <c r="C144" s="10">
        <v>6839</v>
      </c>
      <c r="D144" s="10">
        <v>76863</v>
      </c>
      <c r="E144" s="10">
        <v>2156</v>
      </c>
      <c r="F144" s="10">
        <v>350</v>
      </c>
      <c r="G144" s="10">
        <v>35</v>
      </c>
      <c r="H144" s="3">
        <v>0</v>
      </c>
      <c r="I144" s="25">
        <v>410</v>
      </c>
      <c r="J144" s="10">
        <v>19102</v>
      </c>
      <c r="K144" s="10">
        <v>63.348999999999997</v>
      </c>
      <c r="L144" s="10">
        <v>9125</v>
      </c>
      <c r="M144" s="10">
        <v>171</v>
      </c>
      <c r="N144" s="10">
        <v>0</v>
      </c>
      <c r="O144" s="10">
        <v>87</v>
      </c>
      <c r="P144" s="10">
        <v>49288</v>
      </c>
      <c r="Q144" s="10">
        <v>4107</v>
      </c>
      <c r="R144" s="10">
        <v>152</v>
      </c>
      <c r="S144" s="10">
        <v>816</v>
      </c>
      <c r="T144" s="10">
        <v>51</v>
      </c>
      <c r="U144" s="10">
        <v>0</v>
      </c>
      <c r="V144" s="10">
        <v>32</v>
      </c>
      <c r="W144" s="10">
        <v>0</v>
      </c>
      <c r="X144" s="10">
        <v>75</v>
      </c>
      <c r="Y144" s="10">
        <v>48917</v>
      </c>
      <c r="Z144" s="10">
        <v>4076</v>
      </c>
      <c r="AA144" s="10">
        <v>27</v>
      </c>
      <c r="AB144" s="10">
        <v>907</v>
      </c>
      <c r="AC144" s="10">
        <v>51</v>
      </c>
      <c r="AD144" s="10">
        <v>9100</v>
      </c>
      <c r="AE144" s="10">
        <v>129</v>
      </c>
      <c r="AF144" s="10">
        <v>0</v>
      </c>
      <c r="AG144" s="19">
        <v>0</v>
      </c>
      <c r="AH144" s="20">
        <v>168</v>
      </c>
      <c r="AI144" s="20">
        <v>14</v>
      </c>
      <c r="AJ144" s="21">
        <v>0</v>
      </c>
      <c r="AK144" s="10">
        <v>0</v>
      </c>
      <c r="AL144" s="10">
        <v>24</v>
      </c>
      <c r="AM144" s="10">
        <v>2392</v>
      </c>
      <c r="AN144" s="10">
        <v>536</v>
      </c>
      <c r="AO144" s="10">
        <v>191</v>
      </c>
    </row>
    <row r="145" spans="1:41" ht="15" x14ac:dyDescent="0.25">
      <c r="A145" s="9" t="s">
        <v>21</v>
      </c>
      <c r="B145" s="10">
        <v>28060</v>
      </c>
      <c r="C145" s="10">
        <v>0</v>
      </c>
      <c r="D145" s="10">
        <v>0</v>
      </c>
      <c r="E145" s="10">
        <f>1400+SUM(410)</f>
        <v>1810</v>
      </c>
      <c r="F145" s="10">
        <v>0</v>
      </c>
      <c r="G145" s="10">
        <v>0</v>
      </c>
      <c r="H145" s="2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9">
        <v>0</v>
      </c>
      <c r="AH145" s="20">
        <v>0</v>
      </c>
      <c r="AI145" s="20">
        <v>0</v>
      </c>
      <c r="AJ145" s="21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</row>
    <row r="146" spans="1:41" ht="15" x14ac:dyDescent="0.25">
      <c r="A146" s="11" t="s">
        <v>22</v>
      </c>
      <c r="B146" s="12">
        <v>0</v>
      </c>
      <c r="C146" s="17">
        <v>0</v>
      </c>
      <c r="D146" s="12">
        <v>1445</v>
      </c>
      <c r="E146" s="12">
        <v>0</v>
      </c>
      <c r="F146" s="12">
        <v>0</v>
      </c>
      <c r="G146" s="12">
        <v>0</v>
      </c>
      <c r="H146" s="4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0">
        <v>0</v>
      </c>
      <c r="Q146" s="10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72</v>
      </c>
      <c r="Z146" s="12">
        <v>6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22">
        <v>0</v>
      </c>
      <c r="AH146" s="20">
        <v>72</v>
      </c>
      <c r="AI146" s="20">
        <v>6</v>
      </c>
      <c r="AJ146" s="23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</row>
    <row r="147" spans="1:41" ht="15" x14ac:dyDescent="0.25">
      <c r="A147" s="13" t="s">
        <v>46</v>
      </c>
      <c r="B147" s="10">
        <v>0</v>
      </c>
      <c r="C147" s="10">
        <v>2880</v>
      </c>
      <c r="D147" s="10">
        <v>446</v>
      </c>
      <c r="E147" s="10">
        <v>1120</v>
      </c>
      <c r="F147" s="10">
        <v>0</v>
      </c>
      <c r="G147" s="10">
        <v>0</v>
      </c>
      <c r="H147" s="2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24">
        <v>0</v>
      </c>
      <c r="AI147" s="24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5">
        <v>13</v>
      </c>
    </row>
    <row r="148" spans="1:41" ht="15" x14ac:dyDescent="0.25">
      <c r="A148" s="14" t="s">
        <v>24</v>
      </c>
      <c r="B148" s="10">
        <f>SUM(B144+B145-B146)</f>
        <v>52061</v>
      </c>
      <c r="C148" s="10">
        <f t="shared" ref="C148:K148" si="29">SUM(C144+C145-C146-C147)</f>
        <v>3959</v>
      </c>
      <c r="D148" s="10">
        <f t="shared" si="29"/>
        <v>74972</v>
      </c>
      <c r="E148" s="10">
        <f t="shared" si="29"/>
        <v>2846</v>
      </c>
      <c r="F148" s="10">
        <f t="shared" si="29"/>
        <v>350</v>
      </c>
      <c r="G148" s="10">
        <f t="shared" si="29"/>
        <v>35</v>
      </c>
      <c r="H148" s="2">
        <f t="shared" si="29"/>
        <v>0</v>
      </c>
      <c r="I148" s="10">
        <f t="shared" si="29"/>
        <v>410</v>
      </c>
      <c r="J148" s="10">
        <f t="shared" si="29"/>
        <v>19102</v>
      </c>
      <c r="K148" s="10">
        <f t="shared" si="29"/>
        <v>63.348999999999997</v>
      </c>
      <c r="L148" s="10">
        <f>SUM(L144+L145+L146)</f>
        <v>9125</v>
      </c>
      <c r="M148" s="10">
        <f>SUM(M144+M145+M146+M147)</f>
        <v>171</v>
      </c>
      <c r="N148" s="10">
        <f>SUM(N144+N145-N146-N147)</f>
        <v>0</v>
      </c>
      <c r="O148" s="10">
        <f>SUM(O144+O145-O146-O147)</f>
        <v>87</v>
      </c>
      <c r="P148" s="10">
        <f>SUM(P144+P145+P146)</f>
        <v>49288</v>
      </c>
      <c r="Q148" s="10">
        <f>SUM(Q144-Q145+Q146)</f>
        <v>4107</v>
      </c>
      <c r="R148" s="10">
        <f>SUM(R144-R145+R146+R147)</f>
        <v>152</v>
      </c>
      <c r="S148" s="10">
        <f>SUM(S144-S145+S146+S147)</f>
        <v>816</v>
      </c>
      <c r="T148" s="10">
        <f>SUM(T144+T145+T146+T147)</f>
        <v>51</v>
      </c>
      <c r="U148" s="10">
        <f>SUM(U144+U145-U146-U147)</f>
        <v>0</v>
      </c>
      <c r="V148" s="10">
        <f>SUM(V144+V145-V146-V147)</f>
        <v>32</v>
      </c>
      <c r="W148" s="10">
        <f>SUM(W144+W145-W146-W147)</f>
        <v>0</v>
      </c>
      <c r="X148" s="10">
        <f>SUM(X144+X145-X146-X147)</f>
        <v>75</v>
      </c>
      <c r="Y148" s="10">
        <f>SUM(Y144+Y145+Y146+Y147)</f>
        <v>48989</v>
      </c>
      <c r="Z148" s="10">
        <f>SUM(Z144+Z145+Z146+Z147)</f>
        <v>4082</v>
      </c>
      <c r="AA148" s="10">
        <f>SUM(AA144+AA145+AA146+AA147)</f>
        <v>27</v>
      </c>
      <c r="AB148" s="10">
        <f>SUM(AB144-AB145+AB146+AB147)</f>
        <v>907</v>
      </c>
      <c r="AC148" s="10">
        <f t="shared" ref="AC148:AL148" si="30">SUM(AC144+AC145-AC146-AC147)</f>
        <v>51</v>
      </c>
      <c r="AD148" s="10">
        <f t="shared" si="30"/>
        <v>9100</v>
      </c>
      <c r="AE148" s="10">
        <f t="shared" si="30"/>
        <v>129</v>
      </c>
      <c r="AF148" s="10">
        <f t="shared" si="30"/>
        <v>0</v>
      </c>
      <c r="AG148" s="10">
        <f t="shared" si="30"/>
        <v>0</v>
      </c>
      <c r="AH148" s="10">
        <f t="shared" si="30"/>
        <v>96</v>
      </c>
      <c r="AI148" s="10">
        <f t="shared" si="30"/>
        <v>8</v>
      </c>
      <c r="AJ148" s="10">
        <f t="shared" si="30"/>
        <v>0</v>
      </c>
      <c r="AK148" s="10">
        <f t="shared" si="30"/>
        <v>0</v>
      </c>
      <c r="AL148" s="10">
        <f t="shared" si="30"/>
        <v>24</v>
      </c>
      <c r="AM148" s="10">
        <f>SUM(AM144-AM145+AM146)</f>
        <v>2392</v>
      </c>
      <c r="AN148" s="10">
        <f>SUM(AN144-AN145+AN146)</f>
        <v>536</v>
      </c>
      <c r="AO148" s="10">
        <f>SUM(AO144-AO145+AO146+AO147)</f>
        <v>204</v>
      </c>
    </row>
    <row r="151" spans="1:41" ht="18.75" x14ac:dyDescent="0.3">
      <c r="A151" s="16" t="s">
        <v>56</v>
      </c>
      <c r="B151" s="27" t="s">
        <v>26</v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 t="s">
        <v>29</v>
      </c>
      <c r="M151" s="27"/>
      <c r="N151" s="27"/>
      <c r="O151" s="27"/>
      <c r="P151" s="27"/>
      <c r="Q151" s="27"/>
      <c r="R151" s="27"/>
      <c r="S151" s="27"/>
      <c r="T151" s="27"/>
      <c r="U151" s="27" t="s">
        <v>28</v>
      </c>
      <c r="V151" s="27"/>
      <c r="W151" s="27"/>
      <c r="X151" s="27"/>
      <c r="Y151" s="27"/>
      <c r="Z151" s="27"/>
      <c r="AA151" s="27"/>
      <c r="AB151" s="27"/>
      <c r="AC151" s="27"/>
      <c r="AD151" s="27" t="s">
        <v>27</v>
      </c>
      <c r="AE151" s="27"/>
      <c r="AF151" s="27"/>
      <c r="AG151" s="27"/>
      <c r="AH151" s="27"/>
      <c r="AI151" s="27"/>
      <c r="AJ151" s="27"/>
      <c r="AK151" s="27"/>
      <c r="AL151" s="27"/>
      <c r="AM151" s="27" t="s">
        <v>25</v>
      </c>
      <c r="AN151" s="27"/>
      <c r="AO151" s="27"/>
    </row>
    <row r="152" spans="1:41" ht="15" x14ac:dyDescent="0.25">
      <c r="A152" s="5" t="s">
        <v>74</v>
      </c>
      <c r="B152" s="1" t="s">
        <v>0</v>
      </c>
      <c r="C152" s="1" t="s">
        <v>1</v>
      </c>
      <c r="D152" s="1" t="s">
        <v>2</v>
      </c>
      <c r="E152" s="1" t="s">
        <v>3</v>
      </c>
      <c r="F152" s="1" t="s">
        <v>4</v>
      </c>
      <c r="G152" s="1" t="s">
        <v>5</v>
      </c>
      <c r="H152" s="1" t="s">
        <v>33</v>
      </c>
      <c r="I152" s="1" t="s">
        <v>6</v>
      </c>
      <c r="J152" s="1" t="s">
        <v>7</v>
      </c>
      <c r="K152" s="1" t="s">
        <v>8</v>
      </c>
      <c r="L152" s="1" t="s">
        <v>9</v>
      </c>
      <c r="M152" s="1" t="s">
        <v>30</v>
      </c>
      <c r="N152" s="1" t="s">
        <v>10</v>
      </c>
      <c r="O152" s="1" t="s">
        <v>11</v>
      </c>
      <c r="P152" s="1" t="s">
        <v>32</v>
      </c>
      <c r="Q152" s="1" t="s">
        <v>37</v>
      </c>
      <c r="R152" s="1" t="s">
        <v>31</v>
      </c>
      <c r="S152" s="6" t="s">
        <v>12</v>
      </c>
      <c r="T152" s="6" t="s">
        <v>13</v>
      </c>
      <c r="U152" s="6" t="s">
        <v>14</v>
      </c>
      <c r="V152" s="1" t="s">
        <v>30</v>
      </c>
      <c r="W152" s="6" t="s">
        <v>10</v>
      </c>
      <c r="X152" s="6" t="s">
        <v>15</v>
      </c>
      <c r="Y152" s="1" t="s">
        <v>32</v>
      </c>
      <c r="Z152" s="1" t="s">
        <v>37</v>
      </c>
      <c r="AA152" s="1" t="s">
        <v>31</v>
      </c>
      <c r="AB152" s="1" t="s">
        <v>12</v>
      </c>
      <c r="AC152" s="1" t="s">
        <v>13</v>
      </c>
      <c r="AD152" s="1" t="s">
        <v>9</v>
      </c>
      <c r="AE152" s="1" t="s">
        <v>30</v>
      </c>
      <c r="AF152" s="1" t="s">
        <v>10</v>
      </c>
      <c r="AG152" s="1" t="s">
        <v>11</v>
      </c>
      <c r="AH152" s="18" t="s">
        <v>32</v>
      </c>
      <c r="AI152" s="18" t="s">
        <v>37</v>
      </c>
      <c r="AJ152" s="1" t="s">
        <v>44</v>
      </c>
      <c r="AK152" s="7" t="s">
        <v>16</v>
      </c>
      <c r="AL152" s="8" t="s">
        <v>13</v>
      </c>
      <c r="AM152" s="1" t="s">
        <v>17</v>
      </c>
      <c r="AN152" s="8" t="s">
        <v>49</v>
      </c>
      <c r="AO152" s="8" t="s">
        <v>19</v>
      </c>
    </row>
    <row r="153" spans="1:41" ht="15" x14ac:dyDescent="0.25">
      <c r="A153" s="9" t="s">
        <v>20</v>
      </c>
      <c r="B153" s="10">
        <v>52061</v>
      </c>
      <c r="C153" s="10">
        <v>3959</v>
      </c>
      <c r="D153" s="10">
        <v>74972</v>
      </c>
      <c r="E153" s="10">
        <v>2846</v>
      </c>
      <c r="F153" s="10">
        <v>350</v>
      </c>
      <c r="G153" s="10">
        <v>35</v>
      </c>
      <c r="H153" s="3">
        <v>0</v>
      </c>
      <c r="I153" s="25">
        <v>410</v>
      </c>
      <c r="J153" s="10">
        <v>19102</v>
      </c>
      <c r="K153" s="10">
        <v>63.348999999999997</v>
      </c>
      <c r="L153" s="10">
        <v>9125</v>
      </c>
      <c r="M153" s="10">
        <v>171</v>
      </c>
      <c r="N153" s="10">
        <v>0</v>
      </c>
      <c r="O153" s="10">
        <v>87</v>
      </c>
      <c r="P153" s="10">
        <v>49288</v>
      </c>
      <c r="Q153" s="10">
        <v>4107</v>
      </c>
      <c r="R153" s="10">
        <v>152</v>
      </c>
      <c r="S153" s="10">
        <v>816</v>
      </c>
      <c r="T153" s="10">
        <v>51</v>
      </c>
      <c r="U153" s="10">
        <v>0</v>
      </c>
      <c r="V153" s="10">
        <v>32</v>
      </c>
      <c r="W153" s="10">
        <v>0</v>
      </c>
      <c r="X153" s="10">
        <v>75</v>
      </c>
      <c r="Y153" s="10">
        <v>48989</v>
      </c>
      <c r="Z153" s="10">
        <v>4082</v>
      </c>
      <c r="AA153" s="10">
        <v>27</v>
      </c>
      <c r="AB153" s="10">
        <v>907</v>
      </c>
      <c r="AC153" s="10">
        <v>51</v>
      </c>
      <c r="AD153" s="10">
        <v>9100</v>
      </c>
      <c r="AE153" s="10">
        <v>129</v>
      </c>
      <c r="AF153" s="10">
        <v>0</v>
      </c>
      <c r="AG153" s="19">
        <v>0</v>
      </c>
      <c r="AH153" s="20">
        <v>96</v>
      </c>
      <c r="AI153" s="20">
        <v>8</v>
      </c>
      <c r="AJ153" s="21">
        <v>0</v>
      </c>
      <c r="AK153" s="10">
        <v>0</v>
      </c>
      <c r="AL153" s="10">
        <v>24</v>
      </c>
      <c r="AM153" s="10">
        <v>2392</v>
      </c>
      <c r="AN153" s="10">
        <v>536</v>
      </c>
      <c r="AO153" s="10">
        <v>204</v>
      </c>
    </row>
    <row r="154" spans="1:41" ht="15" x14ac:dyDescent="0.25">
      <c r="A154" s="9" t="s">
        <v>21</v>
      </c>
      <c r="B154" s="10">
        <f>12600+SUM(26460)</f>
        <v>39060</v>
      </c>
      <c r="C154" s="10">
        <v>0</v>
      </c>
      <c r="D154" s="10">
        <v>0</v>
      </c>
      <c r="E154" s="10">
        <v>420</v>
      </c>
      <c r="F154" s="10">
        <v>0</v>
      </c>
      <c r="G154" s="10">
        <v>0</v>
      </c>
      <c r="H154" s="2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f>SUM(2000+2000)</f>
        <v>4000</v>
      </c>
      <c r="AE154" s="10">
        <v>0</v>
      </c>
      <c r="AF154" s="10">
        <v>0</v>
      </c>
      <c r="AG154" s="19">
        <v>0</v>
      </c>
      <c r="AH154" s="20">
        <v>0</v>
      </c>
      <c r="AI154" s="20">
        <v>0</v>
      </c>
      <c r="AJ154" s="21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100</v>
      </c>
    </row>
    <row r="155" spans="1:41" ht="15" x14ac:dyDescent="0.25">
      <c r="A155" s="11" t="s">
        <v>22</v>
      </c>
      <c r="B155" s="12">
        <v>0</v>
      </c>
      <c r="C155" s="17">
        <v>0</v>
      </c>
      <c r="D155" s="12">
        <v>0</v>
      </c>
      <c r="E155" s="12">
        <v>0</v>
      </c>
      <c r="F155" s="12">
        <v>0</v>
      </c>
      <c r="G155" s="12">
        <v>0</v>
      </c>
      <c r="H155" s="4">
        <v>0</v>
      </c>
      <c r="I155" s="12">
        <v>0</v>
      </c>
      <c r="J155" s="12">
        <v>200</v>
      </c>
      <c r="K155" s="12">
        <v>1</v>
      </c>
      <c r="L155" s="12">
        <v>2000</v>
      </c>
      <c r="M155" s="12">
        <v>0</v>
      </c>
      <c r="N155" s="12">
        <v>0</v>
      </c>
      <c r="O155" s="12">
        <v>0</v>
      </c>
      <c r="P155" s="10">
        <v>0</v>
      </c>
      <c r="Q155" s="10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48</v>
      </c>
      <c r="Z155" s="12">
        <v>4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22">
        <v>0</v>
      </c>
      <c r="AH155" s="20">
        <v>48</v>
      </c>
      <c r="AI155" s="20">
        <v>4</v>
      </c>
      <c r="AJ155" s="23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11</v>
      </c>
    </row>
    <row r="156" spans="1:41" ht="15" x14ac:dyDescent="0.25">
      <c r="A156" s="13" t="s">
        <v>46</v>
      </c>
      <c r="B156" s="10">
        <v>0</v>
      </c>
      <c r="C156" s="10">
        <v>1440</v>
      </c>
      <c r="D156" s="10">
        <v>441</v>
      </c>
      <c r="E156" s="10">
        <v>560</v>
      </c>
      <c r="F156" s="10">
        <v>0</v>
      </c>
      <c r="G156" s="10">
        <v>0</v>
      </c>
      <c r="H156" s="2">
        <v>0</v>
      </c>
      <c r="I156" s="10">
        <v>0</v>
      </c>
      <c r="J156" s="10">
        <v>200</v>
      </c>
      <c r="K156" s="10">
        <v>1</v>
      </c>
      <c r="L156" s="10">
        <v>2000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24">
        <v>0</v>
      </c>
      <c r="AI156" s="24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5">
        <v>11</v>
      </c>
    </row>
    <row r="157" spans="1:41" ht="15" x14ac:dyDescent="0.25">
      <c r="A157" s="14" t="s">
        <v>24</v>
      </c>
      <c r="B157" s="10">
        <f>SUM(B153+B154-B155)</f>
        <v>91121</v>
      </c>
      <c r="C157" s="10">
        <f>SUM(C153+C154-C155-C156)</f>
        <v>2519</v>
      </c>
      <c r="D157" s="10">
        <f>SUM(D153+D154-D155-D156)</f>
        <v>74531</v>
      </c>
      <c r="E157" s="10">
        <f>SUM(E153+E154-E155-E156)</f>
        <v>2706</v>
      </c>
      <c r="F157" s="10">
        <f t="shared" ref="F157:K157" si="31">SUM(F153+F154-F155-F156)</f>
        <v>350</v>
      </c>
      <c r="G157" s="10">
        <f t="shared" si="31"/>
        <v>35</v>
      </c>
      <c r="H157" s="2">
        <f t="shared" si="31"/>
        <v>0</v>
      </c>
      <c r="I157" s="10">
        <f t="shared" si="31"/>
        <v>410</v>
      </c>
      <c r="J157" s="10">
        <f t="shared" si="31"/>
        <v>18702</v>
      </c>
      <c r="K157" s="10">
        <f t="shared" si="31"/>
        <v>61.348999999999997</v>
      </c>
      <c r="L157" s="10">
        <f>SUM(L153+L154+L155+L156)</f>
        <v>13125</v>
      </c>
      <c r="M157" s="10">
        <f>SUM(M153+M154+M155+M156)</f>
        <v>171</v>
      </c>
      <c r="N157" s="10">
        <f>SUM(N153+N154-N155-N156)</f>
        <v>0</v>
      </c>
      <c r="O157" s="10">
        <f>SUM(O153+O154-O155-O156)</f>
        <v>87</v>
      </c>
      <c r="P157" s="10">
        <f>SUM(P153+P154+P155)</f>
        <v>49288</v>
      </c>
      <c r="Q157" s="10">
        <f>SUM(Q153-Q154+Q155)</f>
        <v>4107</v>
      </c>
      <c r="R157" s="10">
        <f>SUM(R153-R154+R155+R156)</f>
        <v>152</v>
      </c>
      <c r="S157" s="10">
        <f>SUM(S153-S154+S155+S156)</f>
        <v>816</v>
      </c>
      <c r="T157" s="10">
        <f>SUM(T153+T154+T155+T156)</f>
        <v>51</v>
      </c>
      <c r="U157" s="10">
        <f>SUM(U153+U154-U155-U156)</f>
        <v>0</v>
      </c>
      <c r="V157" s="10">
        <f>SUM(V153+V154-V155-V156)</f>
        <v>32</v>
      </c>
      <c r="W157" s="10">
        <f>SUM(W153+W154-W155-W156)</f>
        <v>0</v>
      </c>
      <c r="X157" s="10">
        <f>SUM(X153+X154-X155-X156)</f>
        <v>75</v>
      </c>
      <c r="Y157" s="10">
        <f>SUM(Y153+Y154+Y155+Y156)</f>
        <v>49037</v>
      </c>
      <c r="Z157" s="10">
        <f>SUM(Z153+Z154+Z155+Z156)</f>
        <v>4086</v>
      </c>
      <c r="AA157" s="10">
        <f>SUM(AA153+AA154+AA155+AA156)</f>
        <v>27</v>
      </c>
      <c r="AB157" s="10">
        <f>SUM(AB153-AB154+AB155+AB156)</f>
        <v>907</v>
      </c>
      <c r="AC157" s="10">
        <f t="shared" ref="AC157:AL157" si="32">SUM(AC153+AC154-AC155-AC156)</f>
        <v>51</v>
      </c>
      <c r="AD157" s="10">
        <f t="shared" si="32"/>
        <v>13100</v>
      </c>
      <c r="AE157" s="10">
        <f t="shared" si="32"/>
        <v>129</v>
      </c>
      <c r="AF157" s="10">
        <f t="shared" si="32"/>
        <v>0</v>
      </c>
      <c r="AG157" s="10">
        <f t="shared" si="32"/>
        <v>0</v>
      </c>
      <c r="AH157" s="10">
        <f t="shared" si="32"/>
        <v>48</v>
      </c>
      <c r="AI157" s="10">
        <f t="shared" si="32"/>
        <v>4</v>
      </c>
      <c r="AJ157" s="10">
        <f t="shared" si="32"/>
        <v>0</v>
      </c>
      <c r="AK157" s="10">
        <f t="shared" si="32"/>
        <v>0</v>
      </c>
      <c r="AL157" s="10">
        <f t="shared" si="32"/>
        <v>24</v>
      </c>
      <c r="AM157" s="10">
        <f>SUM(AM153-AM154+AM155)</f>
        <v>2392</v>
      </c>
      <c r="AN157" s="10">
        <f>SUM(AN153-AN154+AN155)</f>
        <v>536</v>
      </c>
      <c r="AO157" s="10">
        <f>SUM(AO153-AO154+AO155+AO156)</f>
        <v>126</v>
      </c>
    </row>
    <row r="160" spans="1:41" ht="18.75" x14ac:dyDescent="0.3">
      <c r="A160" s="16">
        <v>45927</v>
      </c>
      <c r="B160" s="27" t="s">
        <v>26</v>
      </c>
      <c r="C160" s="27"/>
      <c r="D160" s="27"/>
      <c r="E160" s="27"/>
      <c r="F160" s="27"/>
      <c r="G160" s="27"/>
      <c r="H160" s="27"/>
      <c r="I160" s="27"/>
      <c r="J160" s="27"/>
      <c r="K160" s="27"/>
      <c r="L160" s="27" t="s">
        <v>29</v>
      </c>
      <c r="M160" s="27"/>
      <c r="N160" s="27"/>
      <c r="O160" s="27"/>
      <c r="P160" s="27"/>
      <c r="Q160" s="27"/>
      <c r="R160" s="27"/>
      <c r="S160" s="27"/>
      <c r="T160" s="27"/>
      <c r="U160" s="27" t="s">
        <v>28</v>
      </c>
      <c r="V160" s="27"/>
      <c r="W160" s="27"/>
      <c r="X160" s="27"/>
      <c r="Y160" s="27"/>
      <c r="Z160" s="27"/>
      <c r="AA160" s="27"/>
      <c r="AB160" s="27"/>
      <c r="AC160" s="27"/>
      <c r="AD160" s="27" t="s">
        <v>27</v>
      </c>
      <c r="AE160" s="27"/>
      <c r="AF160" s="27"/>
      <c r="AG160" s="27"/>
      <c r="AH160" s="27"/>
      <c r="AI160" s="27"/>
      <c r="AJ160" s="27"/>
      <c r="AK160" s="27"/>
      <c r="AL160" s="27"/>
      <c r="AM160" s="27" t="s">
        <v>25</v>
      </c>
      <c r="AN160" s="27"/>
      <c r="AO160" s="27"/>
    </row>
    <row r="161" spans="1:41" ht="15" x14ac:dyDescent="0.25">
      <c r="A161" s="5" t="s">
        <v>74</v>
      </c>
      <c r="B161" s="1" t="s">
        <v>0</v>
      </c>
      <c r="C161" s="1" t="s">
        <v>1</v>
      </c>
      <c r="D161" s="1" t="s">
        <v>2</v>
      </c>
      <c r="E161" s="1" t="s">
        <v>3</v>
      </c>
      <c r="F161" s="1" t="s">
        <v>4</v>
      </c>
      <c r="G161" s="1" t="s">
        <v>5</v>
      </c>
      <c r="H161" s="1" t="s">
        <v>33</v>
      </c>
      <c r="I161" s="1" t="s">
        <v>6</v>
      </c>
      <c r="J161" s="1" t="s">
        <v>7</v>
      </c>
      <c r="K161" s="1" t="s">
        <v>8</v>
      </c>
      <c r="L161" s="1" t="s">
        <v>9</v>
      </c>
      <c r="M161" s="1" t="s">
        <v>30</v>
      </c>
      <c r="N161" s="1" t="s">
        <v>10</v>
      </c>
      <c r="O161" s="1" t="s">
        <v>11</v>
      </c>
      <c r="P161" s="1" t="s">
        <v>32</v>
      </c>
      <c r="Q161" s="1" t="s">
        <v>37</v>
      </c>
      <c r="R161" s="1" t="s">
        <v>31</v>
      </c>
      <c r="S161" s="6" t="s">
        <v>12</v>
      </c>
      <c r="T161" s="6" t="s">
        <v>13</v>
      </c>
      <c r="U161" s="6" t="s">
        <v>14</v>
      </c>
      <c r="V161" s="1" t="s">
        <v>30</v>
      </c>
      <c r="W161" s="6" t="s">
        <v>10</v>
      </c>
      <c r="X161" s="6" t="s">
        <v>15</v>
      </c>
      <c r="Y161" s="1" t="s">
        <v>32</v>
      </c>
      <c r="Z161" s="1" t="s">
        <v>37</v>
      </c>
      <c r="AA161" s="1" t="s">
        <v>31</v>
      </c>
      <c r="AB161" s="1" t="s">
        <v>12</v>
      </c>
      <c r="AC161" s="1" t="s">
        <v>13</v>
      </c>
      <c r="AD161" s="1" t="s">
        <v>9</v>
      </c>
      <c r="AE161" s="1" t="s">
        <v>30</v>
      </c>
      <c r="AF161" s="1" t="s">
        <v>10</v>
      </c>
      <c r="AG161" s="1" t="s">
        <v>11</v>
      </c>
      <c r="AH161" s="18" t="s">
        <v>32</v>
      </c>
      <c r="AI161" s="18" t="s">
        <v>37</v>
      </c>
      <c r="AJ161" s="1" t="s">
        <v>44</v>
      </c>
      <c r="AK161" s="7" t="s">
        <v>16</v>
      </c>
      <c r="AL161" s="8" t="s">
        <v>13</v>
      </c>
      <c r="AM161" s="1" t="s">
        <v>17</v>
      </c>
      <c r="AN161" s="8" t="s">
        <v>49</v>
      </c>
      <c r="AO161" s="8" t="s">
        <v>19</v>
      </c>
    </row>
    <row r="162" spans="1:41" ht="15" x14ac:dyDescent="0.25">
      <c r="A162" s="9" t="s">
        <v>20</v>
      </c>
      <c r="B162" s="10">
        <v>91121</v>
      </c>
      <c r="C162" s="10">
        <v>2519</v>
      </c>
      <c r="D162" s="10">
        <v>74531</v>
      </c>
      <c r="E162" s="10">
        <v>2706</v>
      </c>
      <c r="F162" s="10">
        <v>350</v>
      </c>
      <c r="G162" s="10">
        <v>35</v>
      </c>
      <c r="H162" s="3">
        <v>0</v>
      </c>
      <c r="I162" s="25">
        <v>410</v>
      </c>
      <c r="J162" s="10">
        <v>18702</v>
      </c>
      <c r="K162" s="10">
        <v>61.348999999999997</v>
      </c>
      <c r="L162" s="10">
        <v>13125</v>
      </c>
      <c r="M162" s="10">
        <v>171</v>
      </c>
      <c r="N162" s="10">
        <v>0</v>
      </c>
      <c r="O162" s="10">
        <v>87</v>
      </c>
      <c r="P162" s="10">
        <v>49288</v>
      </c>
      <c r="Q162" s="10">
        <v>4107</v>
      </c>
      <c r="R162" s="10">
        <v>152</v>
      </c>
      <c r="S162" s="10">
        <v>816</v>
      </c>
      <c r="T162" s="10">
        <v>51</v>
      </c>
      <c r="U162" s="10">
        <v>0</v>
      </c>
      <c r="V162" s="10">
        <v>32</v>
      </c>
      <c r="W162" s="10">
        <v>0</v>
      </c>
      <c r="X162" s="10">
        <v>75</v>
      </c>
      <c r="Y162" s="10">
        <v>49037</v>
      </c>
      <c r="Z162" s="10">
        <v>4086</v>
      </c>
      <c r="AA162" s="10">
        <v>27</v>
      </c>
      <c r="AB162" s="10">
        <v>907</v>
      </c>
      <c r="AC162" s="10">
        <v>51</v>
      </c>
      <c r="AD162" s="10">
        <v>13100</v>
      </c>
      <c r="AE162" s="10">
        <v>129</v>
      </c>
      <c r="AF162" s="10">
        <v>0</v>
      </c>
      <c r="AG162" s="19">
        <v>0</v>
      </c>
      <c r="AH162" s="20">
        <v>48</v>
      </c>
      <c r="AI162" s="20">
        <v>4</v>
      </c>
      <c r="AJ162" s="21">
        <v>0</v>
      </c>
      <c r="AK162" s="10">
        <v>0</v>
      </c>
      <c r="AL162" s="10">
        <v>24</v>
      </c>
      <c r="AM162" s="10">
        <v>2392</v>
      </c>
      <c r="AN162" s="10">
        <v>536</v>
      </c>
      <c r="AO162" s="10">
        <v>126</v>
      </c>
    </row>
    <row r="163" spans="1:41" ht="15" x14ac:dyDescent="0.25">
      <c r="A163" s="9" t="s">
        <v>21</v>
      </c>
      <c r="B163" s="10">
        <f>12600+SUM(12660)</f>
        <v>25260</v>
      </c>
      <c r="C163" s="10">
        <f>4000+SUM(2464-22)</f>
        <v>6442</v>
      </c>
      <c r="D163" s="10">
        <v>0</v>
      </c>
      <c r="E163" s="10">
        <f>500+SUM(2500)</f>
        <v>3000</v>
      </c>
      <c r="F163" s="10">
        <v>0</v>
      </c>
      <c r="G163" s="10">
        <v>0</v>
      </c>
      <c r="H163" s="2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f>975+SUM(4025)</f>
        <v>5000</v>
      </c>
      <c r="AE163" s="10">
        <v>0</v>
      </c>
      <c r="AF163" s="10">
        <v>0</v>
      </c>
      <c r="AG163" s="19">
        <v>0</v>
      </c>
      <c r="AH163" s="20">
        <v>0</v>
      </c>
      <c r="AI163" s="20">
        <v>0</v>
      </c>
      <c r="AJ163" s="21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</row>
    <row r="164" spans="1:41" ht="15" x14ac:dyDescent="0.25">
      <c r="A164" s="11" t="s">
        <v>22</v>
      </c>
      <c r="B164" s="12">
        <v>4074</v>
      </c>
      <c r="C164" s="17">
        <v>0</v>
      </c>
      <c r="D164" s="12">
        <v>556</v>
      </c>
      <c r="E164" s="12">
        <v>0</v>
      </c>
      <c r="F164" s="12">
        <v>0</v>
      </c>
      <c r="G164" s="12">
        <v>0</v>
      </c>
      <c r="H164" s="4">
        <v>0</v>
      </c>
      <c r="I164" s="12">
        <v>0</v>
      </c>
      <c r="J164" s="12">
        <v>100</v>
      </c>
      <c r="K164" s="12">
        <v>0.5</v>
      </c>
      <c r="L164" s="12">
        <f>SUM(39*25)</f>
        <v>975</v>
      </c>
      <c r="M164" s="12">
        <v>0</v>
      </c>
      <c r="N164" s="12">
        <v>0</v>
      </c>
      <c r="O164" s="12">
        <v>0</v>
      </c>
      <c r="P164" s="10">
        <v>0</v>
      </c>
      <c r="Q164" s="10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22">
        <v>0</v>
      </c>
      <c r="AH164" s="20">
        <v>0</v>
      </c>
      <c r="AI164" s="20">
        <v>0</v>
      </c>
      <c r="AJ164" s="23">
        <v>0</v>
      </c>
      <c r="AK164" s="12">
        <v>0</v>
      </c>
      <c r="AL164" s="12">
        <v>0</v>
      </c>
      <c r="AM164" s="12">
        <v>0</v>
      </c>
      <c r="AN164" s="12">
        <v>136</v>
      </c>
      <c r="AO164" s="12">
        <v>0</v>
      </c>
    </row>
    <row r="165" spans="1:41" ht="15" x14ac:dyDescent="0.25">
      <c r="A165" s="13" t="s">
        <v>46</v>
      </c>
      <c r="B165" s="10">
        <v>2464</v>
      </c>
      <c r="C165" s="10">
        <v>2880</v>
      </c>
      <c r="D165" s="10">
        <v>2565</v>
      </c>
      <c r="E165" s="10">
        <v>1120</v>
      </c>
      <c r="F165" s="10">
        <v>0</v>
      </c>
      <c r="G165" s="10">
        <v>0</v>
      </c>
      <c r="H165" s="2">
        <v>0</v>
      </c>
      <c r="I165" s="10">
        <v>0</v>
      </c>
      <c r="J165" s="10">
        <v>400</v>
      </c>
      <c r="K165" s="10">
        <v>2</v>
      </c>
      <c r="L165" s="10">
        <v>4025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24">
        <v>0</v>
      </c>
      <c r="AI165" s="24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22</v>
      </c>
      <c r="AO165" s="15">
        <f>SUM(20+24+3)</f>
        <v>47</v>
      </c>
    </row>
    <row r="166" spans="1:41" ht="15" x14ac:dyDescent="0.25">
      <c r="A166" s="14" t="s">
        <v>24</v>
      </c>
      <c r="B166" s="10">
        <f t="shared" ref="B166:K166" si="33">SUM(B162+B163-B164-B165)</f>
        <v>109843</v>
      </c>
      <c r="C166" s="10">
        <f t="shared" si="33"/>
        <v>6081</v>
      </c>
      <c r="D166" s="10">
        <f t="shared" si="33"/>
        <v>71410</v>
      </c>
      <c r="E166" s="10">
        <f t="shared" si="33"/>
        <v>4586</v>
      </c>
      <c r="F166" s="10">
        <f t="shared" si="33"/>
        <v>350</v>
      </c>
      <c r="G166" s="10">
        <f t="shared" si="33"/>
        <v>35</v>
      </c>
      <c r="H166" s="2">
        <f t="shared" si="33"/>
        <v>0</v>
      </c>
      <c r="I166" s="10">
        <f t="shared" si="33"/>
        <v>410</v>
      </c>
      <c r="J166" s="10">
        <f t="shared" si="33"/>
        <v>18202</v>
      </c>
      <c r="K166" s="10">
        <f t="shared" si="33"/>
        <v>58.848999999999997</v>
      </c>
      <c r="L166" s="10">
        <f>SUM(L162+L163+L164+L165)</f>
        <v>18125</v>
      </c>
      <c r="M166" s="10">
        <f>SUM(M162+M163+M164+M165)</f>
        <v>171</v>
      </c>
      <c r="N166" s="10">
        <f>SUM(N162+N163-N164-N165)</f>
        <v>0</v>
      </c>
      <c r="O166" s="10">
        <f>SUM(O162+O163-O164-O165)</f>
        <v>87</v>
      </c>
      <c r="P166" s="10">
        <f>SUM(P162+P163+P164)</f>
        <v>49288</v>
      </c>
      <c r="Q166" s="10">
        <f>SUM(Q162-Q163+Q164)</f>
        <v>4107</v>
      </c>
      <c r="R166" s="10">
        <f>SUM(R162-R163+R164+R165)</f>
        <v>152</v>
      </c>
      <c r="S166" s="10">
        <f>SUM(S162-S163+S164+S165)</f>
        <v>816</v>
      </c>
      <c r="T166" s="10">
        <f>SUM(T162+T163+T164+T165)</f>
        <v>51</v>
      </c>
      <c r="U166" s="10">
        <f>SUM(U162+U163-U164-U165)</f>
        <v>0</v>
      </c>
      <c r="V166" s="10">
        <f>SUM(V162+V163-V164-V165)</f>
        <v>32</v>
      </c>
      <c r="W166" s="10">
        <f>SUM(W162+W163-W164-W165)</f>
        <v>0</v>
      </c>
      <c r="X166" s="10">
        <f>SUM(X162+X163-X164-X165)</f>
        <v>75</v>
      </c>
      <c r="Y166" s="10">
        <f>SUM(Y162+Y163+Y164+Y165)</f>
        <v>49037</v>
      </c>
      <c r="Z166" s="10">
        <f>SUM(Z162+Z163+Z164+Z165)</f>
        <v>4086</v>
      </c>
      <c r="AA166" s="10">
        <f>SUM(AA162+AA163+AA164+AA165)</f>
        <v>27</v>
      </c>
      <c r="AB166" s="10">
        <f>SUM(AB162-AB163+AB164+AB165)</f>
        <v>907</v>
      </c>
      <c r="AC166" s="10">
        <f t="shared" ref="AC166:AL166" si="34">SUM(AC162+AC163-AC164-AC165)</f>
        <v>51</v>
      </c>
      <c r="AD166" s="10">
        <f t="shared" si="34"/>
        <v>18100</v>
      </c>
      <c r="AE166" s="10">
        <f t="shared" si="34"/>
        <v>129</v>
      </c>
      <c r="AF166" s="10">
        <f t="shared" si="34"/>
        <v>0</v>
      </c>
      <c r="AG166" s="10">
        <f t="shared" si="34"/>
        <v>0</v>
      </c>
      <c r="AH166" s="10">
        <f t="shared" si="34"/>
        <v>48</v>
      </c>
      <c r="AI166" s="10">
        <f t="shared" si="34"/>
        <v>4</v>
      </c>
      <c r="AJ166" s="10">
        <f t="shared" si="34"/>
        <v>0</v>
      </c>
      <c r="AK166" s="10">
        <f t="shared" si="34"/>
        <v>0</v>
      </c>
      <c r="AL166" s="10">
        <f t="shared" si="34"/>
        <v>24</v>
      </c>
      <c r="AM166" s="10">
        <f>SUM(AM162-AM163+AM164)</f>
        <v>2392</v>
      </c>
      <c r="AN166" s="10">
        <f>SUM(AN162-AN163+AN164+AN165)</f>
        <v>694</v>
      </c>
      <c r="AO166" s="10">
        <f>SUM(AO162-AO163+AO164+AO165)</f>
        <v>173</v>
      </c>
    </row>
    <row r="169" spans="1:41" ht="18.75" x14ac:dyDescent="0.3">
      <c r="A169" s="16">
        <v>45928</v>
      </c>
      <c r="B169" s="27" t="s">
        <v>26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 t="s">
        <v>29</v>
      </c>
      <c r="M169" s="27"/>
      <c r="N169" s="27"/>
      <c r="O169" s="27"/>
      <c r="P169" s="27"/>
      <c r="Q169" s="27"/>
      <c r="R169" s="27"/>
      <c r="S169" s="27"/>
      <c r="T169" s="27"/>
      <c r="U169" s="27" t="s">
        <v>28</v>
      </c>
      <c r="V169" s="27"/>
      <c r="W169" s="27"/>
      <c r="X169" s="27"/>
      <c r="Y169" s="27"/>
      <c r="Z169" s="27"/>
      <c r="AA169" s="27"/>
      <c r="AB169" s="27"/>
      <c r="AC169" s="27"/>
      <c r="AD169" s="27" t="s">
        <v>27</v>
      </c>
      <c r="AE169" s="27"/>
      <c r="AF169" s="27"/>
      <c r="AG169" s="27"/>
      <c r="AH169" s="27"/>
      <c r="AI169" s="27"/>
      <c r="AJ169" s="27"/>
      <c r="AK169" s="27"/>
      <c r="AL169" s="27"/>
      <c r="AM169" s="27" t="s">
        <v>25</v>
      </c>
      <c r="AN169" s="27"/>
      <c r="AO169" s="27"/>
    </row>
    <row r="170" spans="1:41" ht="15" x14ac:dyDescent="0.25">
      <c r="A170" s="5" t="s">
        <v>74</v>
      </c>
      <c r="B170" s="1" t="s">
        <v>0</v>
      </c>
      <c r="C170" s="1" t="s">
        <v>1</v>
      </c>
      <c r="D170" s="1" t="s">
        <v>2</v>
      </c>
      <c r="E170" s="1" t="s">
        <v>3</v>
      </c>
      <c r="F170" s="1" t="s">
        <v>4</v>
      </c>
      <c r="G170" s="1" t="s">
        <v>5</v>
      </c>
      <c r="H170" s="1" t="s">
        <v>33</v>
      </c>
      <c r="I170" s="1" t="s">
        <v>6</v>
      </c>
      <c r="J170" s="1" t="s">
        <v>7</v>
      </c>
      <c r="K170" s="1" t="s">
        <v>8</v>
      </c>
      <c r="L170" s="1" t="s">
        <v>9</v>
      </c>
      <c r="M170" s="1" t="s">
        <v>30</v>
      </c>
      <c r="N170" s="1" t="s">
        <v>10</v>
      </c>
      <c r="O170" s="1" t="s">
        <v>11</v>
      </c>
      <c r="P170" s="1" t="s">
        <v>32</v>
      </c>
      <c r="Q170" s="1" t="s">
        <v>37</v>
      </c>
      <c r="R170" s="1" t="s">
        <v>31</v>
      </c>
      <c r="S170" s="6" t="s">
        <v>12</v>
      </c>
      <c r="T170" s="6" t="s">
        <v>13</v>
      </c>
      <c r="U170" s="6" t="s">
        <v>14</v>
      </c>
      <c r="V170" s="1" t="s">
        <v>30</v>
      </c>
      <c r="W170" s="6" t="s">
        <v>10</v>
      </c>
      <c r="X170" s="6" t="s">
        <v>15</v>
      </c>
      <c r="Y170" s="1" t="s">
        <v>32</v>
      </c>
      <c r="Z170" s="1" t="s">
        <v>37</v>
      </c>
      <c r="AA170" s="1" t="s">
        <v>31</v>
      </c>
      <c r="AB170" s="1" t="s">
        <v>12</v>
      </c>
      <c r="AC170" s="1" t="s">
        <v>13</v>
      </c>
      <c r="AD170" s="1" t="s">
        <v>9</v>
      </c>
      <c r="AE170" s="1" t="s">
        <v>30</v>
      </c>
      <c r="AF170" s="1" t="s">
        <v>10</v>
      </c>
      <c r="AG170" s="1" t="s">
        <v>11</v>
      </c>
      <c r="AH170" s="18" t="s">
        <v>32</v>
      </c>
      <c r="AI170" s="18" t="s">
        <v>37</v>
      </c>
      <c r="AJ170" s="1" t="s">
        <v>44</v>
      </c>
      <c r="AK170" s="7" t="s">
        <v>16</v>
      </c>
      <c r="AL170" s="8" t="s">
        <v>13</v>
      </c>
      <c r="AM170" s="1" t="s">
        <v>17</v>
      </c>
      <c r="AN170" s="8" t="s">
        <v>49</v>
      </c>
      <c r="AO170" s="8" t="s">
        <v>19</v>
      </c>
    </row>
    <row r="171" spans="1:41" ht="15" x14ac:dyDescent="0.25">
      <c r="A171" s="9" t="s">
        <v>20</v>
      </c>
      <c r="B171" s="10">
        <v>109843</v>
      </c>
      <c r="C171" s="10">
        <v>6081</v>
      </c>
      <c r="D171" s="10">
        <v>71410</v>
      </c>
      <c r="E171" s="10">
        <v>4586</v>
      </c>
      <c r="F171" s="10">
        <v>350</v>
      </c>
      <c r="G171" s="10">
        <v>35</v>
      </c>
      <c r="H171" s="3">
        <v>0</v>
      </c>
      <c r="I171" s="25">
        <v>410</v>
      </c>
      <c r="J171" s="10">
        <v>18202</v>
      </c>
      <c r="K171" s="10">
        <v>58.848999999999997</v>
      </c>
      <c r="L171" s="10">
        <v>18125</v>
      </c>
      <c r="M171" s="10">
        <v>171</v>
      </c>
      <c r="N171" s="10">
        <v>0</v>
      </c>
      <c r="O171" s="10">
        <v>87</v>
      </c>
      <c r="P171" s="10">
        <v>49288</v>
      </c>
      <c r="Q171" s="10">
        <v>4107</v>
      </c>
      <c r="R171" s="10">
        <v>152</v>
      </c>
      <c r="S171" s="10">
        <v>816</v>
      </c>
      <c r="T171" s="10">
        <v>51</v>
      </c>
      <c r="U171" s="10">
        <v>0</v>
      </c>
      <c r="V171" s="10">
        <v>32</v>
      </c>
      <c r="W171" s="10">
        <v>0</v>
      </c>
      <c r="X171" s="10">
        <v>75</v>
      </c>
      <c r="Y171" s="10">
        <v>49037</v>
      </c>
      <c r="Z171" s="10">
        <v>4086</v>
      </c>
      <c r="AA171" s="10">
        <v>27</v>
      </c>
      <c r="AB171" s="10">
        <v>907</v>
      </c>
      <c r="AC171" s="10">
        <v>51</v>
      </c>
      <c r="AD171" s="10">
        <v>18100</v>
      </c>
      <c r="AE171" s="10">
        <v>129</v>
      </c>
      <c r="AF171" s="10">
        <v>0</v>
      </c>
      <c r="AG171" s="19">
        <v>0</v>
      </c>
      <c r="AH171" s="20">
        <v>48</v>
      </c>
      <c r="AI171" s="20">
        <v>4</v>
      </c>
      <c r="AJ171" s="21">
        <v>0</v>
      </c>
      <c r="AK171" s="10">
        <v>0</v>
      </c>
      <c r="AL171" s="10">
        <v>24</v>
      </c>
      <c r="AM171" s="10">
        <v>2392</v>
      </c>
      <c r="AN171" s="10">
        <v>694</v>
      </c>
      <c r="AO171" s="10">
        <v>173</v>
      </c>
    </row>
    <row r="172" spans="1:41" ht="15" x14ac:dyDescent="0.25">
      <c r="A172" s="9" t="s">
        <v>21</v>
      </c>
      <c r="B172" s="10">
        <v>0</v>
      </c>
      <c r="C172" s="10">
        <f>SUM(952+5668-13-39-70)</f>
        <v>6498</v>
      </c>
      <c r="D172" s="10">
        <v>0</v>
      </c>
      <c r="E172" s="10">
        <v>1240</v>
      </c>
      <c r="F172" s="10">
        <v>0</v>
      </c>
      <c r="G172" s="10">
        <v>0</v>
      </c>
      <c r="H172" s="2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f>SUM(6025+6050)</f>
        <v>12075</v>
      </c>
      <c r="AE172" s="10">
        <v>0</v>
      </c>
      <c r="AF172" s="10">
        <v>0</v>
      </c>
      <c r="AG172" s="19">
        <v>0</v>
      </c>
      <c r="AH172" s="20">
        <v>0</v>
      </c>
      <c r="AI172" s="20">
        <v>0</v>
      </c>
      <c r="AJ172" s="21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</row>
    <row r="173" spans="1:41" ht="15" x14ac:dyDescent="0.25">
      <c r="A173" s="11" t="s">
        <v>22</v>
      </c>
      <c r="B173" s="12">
        <v>952</v>
      </c>
      <c r="C173" s="17">
        <v>4032</v>
      </c>
      <c r="D173" s="12">
        <v>1288</v>
      </c>
      <c r="E173" s="12">
        <v>1568</v>
      </c>
      <c r="F173" s="12">
        <v>0</v>
      </c>
      <c r="G173" s="12">
        <v>0</v>
      </c>
      <c r="H173" s="4">
        <v>0</v>
      </c>
      <c r="I173" s="12">
        <v>0</v>
      </c>
      <c r="J173" s="12">
        <v>600</v>
      </c>
      <c r="K173" s="12">
        <v>3</v>
      </c>
      <c r="L173" s="12">
        <v>6025</v>
      </c>
      <c r="M173" s="12">
        <v>0</v>
      </c>
      <c r="N173" s="12">
        <v>0</v>
      </c>
      <c r="O173" s="12">
        <v>0</v>
      </c>
      <c r="P173" s="10">
        <v>0</v>
      </c>
      <c r="Q173" s="10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22">
        <v>0</v>
      </c>
      <c r="AH173" s="20">
        <v>0</v>
      </c>
      <c r="AI173" s="20">
        <v>0</v>
      </c>
      <c r="AJ173" s="23">
        <v>0</v>
      </c>
      <c r="AK173" s="12">
        <v>0</v>
      </c>
      <c r="AL173" s="12">
        <v>0</v>
      </c>
      <c r="AM173" s="12">
        <v>0</v>
      </c>
      <c r="AN173" s="12">
        <v>13</v>
      </c>
      <c r="AO173" s="12">
        <v>23</v>
      </c>
    </row>
    <row r="174" spans="1:41" ht="15" x14ac:dyDescent="0.25">
      <c r="A174" s="13" t="s">
        <v>46</v>
      </c>
      <c r="B174" s="10">
        <v>5668</v>
      </c>
      <c r="C174" s="10">
        <v>4608</v>
      </c>
      <c r="D174" s="10">
        <v>0</v>
      </c>
      <c r="E174" s="10">
        <v>1792</v>
      </c>
      <c r="F174" s="10">
        <v>0</v>
      </c>
      <c r="G174" s="10">
        <v>0</v>
      </c>
      <c r="H174" s="2">
        <v>0</v>
      </c>
      <c r="I174" s="10">
        <v>0</v>
      </c>
      <c r="J174" s="10">
        <v>602</v>
      </c>
      <c r="K174" s="10">
        <v>3</v>
      </c>
      <c r="L174" s="10">
        <v>6050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24">
        <v>0</v>
      </c>
      <c r="AI174" s="24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39</v>
      </c>
      <c r="AO174" s="15">
        <v>55</v>
      </c>
    </row>
    <row r="175" spans="1:41" ht="15" x14ac:dyDescent="0.25">
      <c r="A175" s="14" t="s">
        <v>24</v>
      </c>
      <c r="B175" s="10">
        <f t="shared" ref="B175:K175" si="35">SUM(B171+B172-B173-B174)</f>
        <v>103223</v>
      </c>
      <c r="C175" s="10">
        <f t="shared" si="35"/>
        <v>3939</v>
      </c>
      <c r="D175" s="10">
        <f t="shared" si="35"/>
        <v>70122</v>
      </c>
      <c r="E175" s="10">
        <f t="shared" si="35"/>
        <v>2466</v>
      </c>
      <c r="F175" s="10">
        <f t="shared" si="35"/>
        <v>350</v>
      </c>
      <c r="G175" s="10">
        <f t="shared" si="35"/>
        <v>35</v>
      </c>
      <c r="H175" s="2">
        <f t="shared" si="35"/>
        <v>0</v>
      </c>
      <c r="I175" s="10">
        <f t="shared" si="35"/>
        <v>410</v>
      </c>
      <c r="J175" s="10">
        <f t="shared" si="35"/>
        <v>17000</v>
      </c>
      <c r="K175" s="10">
        <f t="shared" si="35"/>
        <v>52.848999999999997</v>
      </c>
      <c r="L175" s="10">
        <f>SUM(L171+L172+L173+L174)</f>
        <v>30200</v>
      </c>
      <c r="M175" s="10">
        <f>SUM(M171+M172+M173+M174)</f>
        <v>171</v>
      </c>
      <c r="N175" s="10">
        <f>SUM(N171+N172-N173-N174)</f>
        <v>0</v>
      </c>
      <c r="O175" s="10">
        <f>SUM(O171+O172-O173-O174)</f>
        <v>87</v>
      </c>
      <c r="P175" s="10">
        <f>SUM(P171+P172+P173)</f>
        <v>49288</v>
      </c>
      <c r="Q175" s="10">
        <f>SUM(Q171-Q172+Q173)</f>
        <v>4107</v>
      </c>
      <c r="R175" s="10">
        <f>SUM(R171-R172+R173+R174)</f>
        <v>152</v>
      </c>
      <c r="S175" s="10">
        <f>SUM(S171-S172+S173+S174)</f>
        <v>816</v>
      </c>
      <c r="T175" s="10">
        <f>SUM(T171+T172+T173+T174)</f>
        <v>51</v>
      </c>
      <c r="U175" s="10">
        <f>SUM(U171+U172-U173-U174)</f>
        <v>0</v>
      </c>
      <c r="V175" s="10">
        <f>SUM(V171+V172-V173-V174)</f>
        <v>32</v>
      </c>
      <c r="W175" s="10">
        <f>SUM(W171+W172-W173-W174)</f>
        <v>0</v>
      </c>
      <c r="X175" s="10">
        <f>SUM(X171+X172-X173-X174)</f>
        <v>75</v>
      </c>
      <c r="Y175" s="10">
        <f>SUM(Y171+Y172+Y173+Y174)</f>
        <v>49037</v>
      </c>
      <c r="Z175" s="10">
        <f>SUM(Z171+Z172+Z173+Z174)</f>
        <v>4086</v>
      </c>
      <c r="AA175" s="10">
        <f>SUM(AA171+AA172+AA173+AA174)</f>
        <v>27</v>
      </c>
      <c r="AB175" s="10">
        <f>SUM(AB171-AB172+AB173+AB174)</f>
        <v>907</v>
      </c>
      <c r="AC175" s="10">
        <f t="shared" ref="AC175:AL175" si="36">SUM(AC171+AC172-AC173-AC174)</f>
        <v>51</v>
      </c>
      <c r="AD175" s="10">
        <f t="shared" si="36"/>
        <v>30175</v>
      </c>
      <c r="AE175" s="10">
        <f t="shared" si="36"/>
        <v>129</v>
      </c>
      <c r="AF175" s="10">
        <f t="shared" si="36"/>
        <v>0</v>
      </c>
      <c r="AG175" s="10">
        <f t="shared" si="36"/>
        <v>0</v>
      </c>
      <c r="AH175" s="10">
        <f t="shared" si="36"/>
        <v>48</v>
      </c>
      <c r="AI175" s="10">
        <f t="shared" si="36"/>
        <v>4</v>
      </c>
      <c r="AJ175" s="10">
        <f t="shared" si="36"/>
        <v>0</v>
      </c>
      <c r="AK175" s="10">
        <f t="shared" si="36"/>
        <v>0</v>
      </c>
      <c r="AL175" s="10">
        <f t="shared" si="36"/>
        <v>24</v>
      </c>
      <c r="AM175" s="10">
        <f>SUM(AM171-AM172+AM173)</f>
        <v>2392</v>
      </c>
      <c r="AN175" s="10">
        <f>SUM(AN171-AN172+AN173+AN174)</f>
        <v>746</v>
      </c>
      <c r="AO175" s="10">
        <f>SUM(AO171-AO172+AO173+AO174)</f>
        <v>251</v>
      </c>
    </row>
    <row r="178" spans="1:41" ht="18.75" x14ac:dyDescent="0.3">
      <c r="A178" s="16">
        <v>45929</v>
      </c>
      <c r="B178" s="27" t="s">
        <v>26</v>
      </c>
      <c r="C178" s="27"/>
      <c r="D178" s="27"/>
      <c r="E178" s="27"/>
      <c r="F178" s="27"/>
      <c r="G178" s="27"/>
      <c r="H178" s="27"/>
      <c r="I178" s="27"/>
      <c r="J178" s="27"/>
      <c r="K178" s="27"/>
      <c r="L178" s="27" t="s">
        <v>29</v>
      </c>
      <c r="M178" s="27"/>
      <c r="N178" s="27"/>
      <c r="O178" s="27"/>
      <c r="P178" s="27"/>
      <c r="Q178" s="27"/>
      <c r="R178" s="27"/>
      <c r="S178" s="27"/>
      <c r="T178" s="27"/>
      <c r="U178" s="27" t="s">
        <v>28</v>
      </c>
      <c r="V178" s="27"/>
      <c r="W178" s="27"/>
      <c r="X178" s="27"/>
      <c r="Y178" s="27"/>
      <c r="Z178" s="27"/>
      <c r="AA178" s="27"/>
      <c r="AB178" s="27"/>
      <c r="AC178" s="27"/>
      <c r="AD178" s="27" t="s">
        <v>27</v>
      </c>
      <c r="AE178" s="27"/>
      <c r="AF178" s="27"/>
      <c r="AG178" s="27"/>
      <c r="AH178" s="27"/>
      <c r="AI178" s="27"/>
      <c r="AJ178" s="27"/>
      <c r="AK178" s="27"/>
      <c r="AL178" s="27"/>
      <c r="AM178" s="27" t="s">
        <v>25</v>
      </c>
      <c r="AN178" s="27"/>
      <c r="AO178" s="27"/>
    </row>
    <row r="179" spans="1:41" ht="15" x14ac:dyDescent="0.25">
      <c r="A179" s="5" t="s">
        <v>74</v>
      </c>
      <c r="B179" s="1" t="s">
        <v>0</v>
      </c>
      <c r="C179" s="1" t="s">
        <v>1</v>
      </c>
      <c r="D179" s="1" t="s">
        <v>2</v>
      </c>
      <c r="E179" s="1" t="s">
        <v>3</v>
      </c>
      <c r="F179" s="1" t="s">
        <v>4</v>
      </c>
      <c r="G179" s="1" t="s">
        <v>5</v>
      </c>
      <c r="H179" s="1" t="s">
        <v>33</v>
      </c>
      <c r="I179" s="1" t="s">
        <v>6</v>
      </c>
      <c r="J179" s="1" t="s">
        <v>7</v>
      </c>
      <c r="K179" s="1" t="s">
        <v>8</v>
      </c>
      <c r="L179" s="1" t="s">
        <v>9</v>
      </c>
      <c r="M179" s="1" t="s">
        <v>30</v>
      </c>
      <c r="N179" s="1" t="s">
        <v>10</v>
      </c>
      <c r="O179" s="1" t="s">
        <v>11</v>
      </c>
      <c r="P179" s="1" t="s">
        <v>32</v>
      </c>
      <c r="Q179" s="1" t="s">
        <v>37</v>
      </c>
      <c r="R179" s="1" t="s">
        <v>31</v>
      </c>
      <c r="S179" s="6" t="s">
        <v>12</v>
      </c>
      <c r="T179" s="6" t="s">
        <v>13</v>
      </c>
      <c r="U179" s="6" t="s">
        <v>14</v>
      </c>
      <c r="V179" s="1" t="s">
        <v>30</v>
      </c>
      <c r="W179" s="6" t="s">
        <v>10</v>
      </c>
      <c r="X179" s="6" t="s">
        <v>15</v>
      </c>
      <c r="Y179" s="1" t="s">
        <v>32</v>
      </c>
      <c r="Z179" s="1" t="s">
        <v>37</v>
      </c>
      <c r="AA179" s="1" t="s">
        <v>31</v>
      </c>
      <c r="AB179" s="1" t="s">
        <v>12</v>
      </c>
      <c r="AC179" s="1" t="s">
        <v>13</v>
      </c>
      <c r="AD179" s="1" t="s">
        <v>9</v>
      </c>
      <c r="AE179" s="1" t="s">
        <v>30</v>
      </c>
      <c r="AF179" s="1" t="s">
        <v>10</v>
      </c>
      <c r="AG179" s="1" t="s">
        <v>11</v>
      </c>
      <c r="AH179" s="18" t="s">
        <v>32</v>
      </c>
      <c r="AI179" s="18" t="s">
        <v>37</v>
      </c>
      <c r="AJ179" s="1" t="s">
        <v>44</v>
      </c>
      <c r="AK179" s="7" t="s">
        <v>16</v>
      </c>
      <c r="AL179" s="8" t="s">
        <v>13</v>
      </c>
      <c r="AM179" s="1" t="s">
        <v>17</v>
      </c>
      <c r="AN179" s="8" t="s">
        <v>49</v>
      </c>
      <c r="AO179" s="8" t="s">
        <v>19</v>
      </c>
    </row>
    <row r="180" spans="1:41" ht="15" x14ac:dyDescent="0.25">
      <c r="A180" s="9" t="s">
        <v>20</v>
      </c>
      <c r="B180" s="10">
        <v>103223</v>
      </c>
      <c r="C180" s="10">
        <v>3939</v>
      </c>
      <c r="D180" s="10">
        <v>70122</v>
      </c>
      <c r="E180" s="10">
        <v>2466</v>
      </c>
      <c r="F180" s="10">
        <v>350</v>
      </c>
      <c r="G180" s="10">
        <v>35</v>
      </c>
      <c r="H180" s="3">
        <v>0</v>
      </c>
      <c r="I180" s="25">
        <v>410</v>
      </c>
      <c r="J180" s="10">
        <v>17000</v>
      </c>
      <c r="K180" s="10">
        <v>52.848999999999997</v>
      </c>
      <c r="L180" s="10">
        <v>30200</v>
      </c>
      <c r="M180" s="10">
        <v>171</v>
      </c>
      <c r="N180" s="10">
        <v>0</v>
      </c>
      <c r="O180" s="10">
        <v>87</v>
      </c>
      <c r="P180" s="10">
        <v>49288</v>
      </c>
      <c r="Q180" s="10">
        <v>4107</v>
      </c>
      <c r="R180" s="10">
        <v>152</v>
      </c>
      <c r="S180" s="10">
        <v>816</v>
      </c>
      <c r="T180" s="10">
        <v>51</v>
      </c>
      <c r="U180" s="10">
        <v>0</v>
      </c>
      <c r="V180" s="10">
        <v>32</v>
      </c>
      <c r="W180" s="10">
        <v>0</v>
      </c>
      <c r="X180" s="10">
        <v>75</v>
      </c>
      <c r="Y180" s="10">
        <v>49037</v>
      </c>
      <c r="Z180" s="10">
        <v>4086</v>
      </c>
      <c r="AA180" s="10">
        <v>27</v>
      </c>
      <c r="AB180" s="10">
        <v>907</v>
      </c>
      <c r="AC180" s="10">
        <v>51</v>
      </c>
      <c r="AD180" s="10">
        <v>30175</v>
      </c>
      <c r="AE180" s="10">
        <v>129</v>
      </c>
      <c r="AF180" s="10">
        <v>0</v>
      </c>
      <c r="AG180" s="19">
        <v>0</v>
      </c>
      <c r="AH180" s="20">
        <v>48</v>
      </c>
      <c r="AI180" s="20">
        <v>4</v>
      </c>
      <c r="AJ180" s="21">
        <v>0</v>
      </c>
      <c r="AK180" s="10">
        <v>0</v>
      </c>
      <c r="AL180" s="10">
        <v>24</v>
      </c>
      <c r="AM180" s="10">
        <v>2392</v>
      </c>
      <c r="AN180" s="10">
        <v>746</v>
      </c>
      <c r="AO180" s="10">
        <v>251</v>
      </c>
    </row>
    <row r="181" spans="1:41" ht="15" x14ac:dyDescent="0.25">
      <c r="A181" s="9" t="s">
        <v>21</v>
      </c>
      <c r="B181" s="10">
        <v>24820</v>
      </c>
      <c r="C181" s="10">
        <f>SUM(2427-62+4036-67-70)</f>
        <v>6264</v>
      </c>
      <c r="D181" s="10">
        <v>0</v>
      </c>
      <c r="E181" s="10">
        <f>600+SUM(1001-26-30)</f>
        <v>1545</v>
      </c>
      <c r="F181" s="10">
        <v>0</v>
      </c>
      <c r="G181" s="10">
        <v>0</v>
      </c>
      <c r="H181" s="2">
        <v>0</v>
      </c>
      <c r="I181" s="10">
        <v>0</v>
      </c>
      <c r="J181" s="10">
        <v>0</v>
      </c>
      <c r="K181" s="10">
        <v>50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f>SUM(4075+7050)</f>
        <v>11125</v>
      </c>
      <c r="AE181" s="10">
        <v>0</v>
      </c>
      <c r="AF181" s="10">
        <v>0</v>
      </c>
      <c r="AG181" s="19">
        <v>0</v>
      </c>
      <c r="AH181" s="20">
        <v>0</v>
      </c>
      <c r="AI181" s="20">
        <v>0</v>
      </c>
      <c r="AJ181" s="21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</row>
    <row r="182" spans="1:41" ht="15" x14ac:dyDescent="0.25">
      <c r="A182" s="11" t="s">
        <v>22</v>
      </c>
      <c r="B182" s="12">
        <v>2427</v>
      </c>
      <c r="C182" s="17">
        <v>3456</v>
      </c>
      <c r="D182" s="12">
        <v>622</v>
      </c>
      <c r="E182" s="12">
        <v>1344</v>
      </c>
      <c r="F182" s="12">
        <v>0</v>
      </c>
      <c r="G182" s="12">
        <v>0</v>
      </c>
      <c r="H182" s="4">
        <v>0</v>
      </c>
      <c r="I182" s="12">
        <v>0</v>
      </c>
      <c r="J182" s="12">
        <v>400</v>
      </c>
      <c r="K182" s="12">
        <v>2</v>
      </c>
      <c r="L182" s="12">
        <v>4075</v>
      </c>
      <c r="M182" s="12">
        <v>0</v>
      </c>
      <c r="N182" s="12">
        <v>0</v>
      </c>
      <c r="O182" s="12">
        <v>0</v>
      </c>
      <c r="P182" s="10">
        <v>0</v>
      </c>
      <c r="Q182" s="10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22">
        <v>0</v>
      </c>
      <c r="AH182" s="20">
        <v>0</v>
      </c>
      <c r="AI182" s="20">
        <v>0</v>
      </c>
      <c r="AJ182" s="23">
        <v>0</v>
      </c>
      <c r="AK182" s="12">
        <v>0</v>
      </c>
      <c r="AL182" s="12">
        <v>0</v>
      </c>
      <c r="AM182" s="12">
        <v>0</v>
      </c>
      <c r="AN182" s="12">
        <v>62</v>
      </c>
      <c r="AO182" s="12">
        <v>9</v>
      </c>
    </row>
    <row r="183" spans="1:41" ht="15" x14ac:dyDescent="0.25">
      <c r="A183" s="13" t="s">
        <v>46</v>
      </c>
      <c r="B183" s="10">
        <v>4036</v>
      </c>
      <c r="C183" s="10">
        <v>3456</v>
      </c>
      <c r="D183" s="10">
        <v>1001</v>
      </c>
      <c r="E183" s="10">
        <v>1344</v>
      </c>
      <c r="F183" s="10">
        <v>0</v>
      </c>
      <c r="G183" s="10">
        <v>0</v>
      </c>
      <c r="H183" s="2">
        <v>0</v>
      </c>
      <c r="I183" s="10">
        <v>0</v>
      </c>
      <c r="J183" s="10">
        <v>700</v>
      </c>
      <c r="K183" s="10">
        <v>3.5</v>
      </c>
      <c r="L183" s="10">
        <v>7050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24">
        <v>0</v>
      </c>
      <c r="AI183" s="24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f>SUM(67+25)</f>
        <v>92</v>
      </c>
      <c r="AO183" s="15">
        <v>68</v>
      </c>
    </row>
    <row r="184" spans="1:41" ht="15" x14ac:dyDescent="0.25">
      <c r="A184" s="14" t="s">
        <v>24</v>
      </c>
      <c r="B184" s="10">
        <f t="shared" ref="B184:K184" si="37">SUM(B180+B181-B182-B183)</f>
        <v>121580</v>
      </c>
      <c r="C184" s="10">
        <f t="shared" si="37"/>
        <v>3291</v>
      </c>
      <c r="D184" s="10">
        <f t="shared" si="37"/>
        <v>68499</v>
      </c>
      <c r="E184" s="10">
        <f t="shared" si="37"/>
        <v>1323</v>
      </c>
      <c r="F184" s="10">
        <f t="shared" si="37"/>
        <v>350</v>
      </c>
      <c r="G184" s="10">
        <f t="shared" si="37"/>
        <v>35</v>
      </c>
      <c r="H184" s="2">
        <f t="shared" si="37"/>
        <v>0</v>
      </c>
      <c r="I184" s="10">
        <f t="shared" si="37"/>
        <v>410</v>
      </c>
      <c r="J184" s="10">
        <f t="shared" si="37"/>
        <v>15900</v>
      </c>
      <c r="K184" s="10">
        <f t="shared" si="37"/>
        <v>97.34899999999999</v>
      </c>
      <c r="L184" s="10">
        <f>SUM(L180+L181+L182+L183)</f>
        <v>41325</v>
      </c>
      <c r="M184" s="10">
        <f>SUM(M180+M181+M182+M183)</f>
        <v>171</v>
      </c>
      <c r="N184" s="10">
        <f>SUM(N180+N181-N182-N183)</f>
        <v>0</v>
      </c>
      <c r="O184" s="10">
        <f>SUM(O180+O181-O182-O183)</f>
        <v>87</v>
      </c>
      <c r="P184" s="10">
        <f>SUM(P180+P181+P182)</f>
        <v>49288</v>
      </c>
      <c r="Q184" s="10">
        <f>SUM(Q180-Q181+Q182)</f>
        <v>4107</v>
      </c>
      <c r="R184" s="10">
        <f>SUM(R180-R181+R182+R183)</f>
        <v>152</v>
      </c>
      <c r="S184" s="10">
        <f>SUM(S180-S181+S182+S183)</f>
        <v>816</v>
      </c>
      <c r="T184" s="10">
        <f>SUM(T180+T181+T182+T183)</f>
        <v>51</v>
      </c>
      <c r="U184" s="10">
        <f>SUM(U180+U181-U182-U183)</f>
        <v>0</v>
      </c>
      <c r="V184" s="10">
        <f>SUM(V180+V181-V182-V183)</f>
        <v>32</v>
      </c>
      <c r="W184" s="10">
        <f>SUM(W180+W181-W182-W183)</f>
        <v>0</v>
      </c>
      <c r="X184" s="10">
        <f>SUM(X180+X181-X182-X183)</f>
        <v>75</v>
      </c>
      <c r="Y184" s="10">
        <f>SUM(Y180+Y181+Y182+Y183)</f>
        <v>49037</v>
      </c>
      <c r="Z184" s="10">
        <f>SUM(Z180+Z181+Z182+Z183)</f>
        <v>4086</v>
      </c>
      <c r="AA184" s="10">
        <f>SUM(AA180+AA181+AA182+AA183)</f>
        <v>27</v>
      </c>
      <c r="AB184" s="10">
        <f>SUM(AB180-AB181+AB182+AB183)</f>
        <v>907</v>
      </c>
      <c r="AC184" s="10">
        <f t="shared" ref="AC184:AL184" si="38">SUM(AC180+AC181-AC182-AC183)</f>
        <v>51</v>
      </c>
      <c r="AD184" s="10">
        <f t="shared" si="38"/>
        <v>41300</v>
      </c>
      <c r="AE184" s="10">
        <f t="shared" si="38"/>
        <v>129</v>
      </c>
      <c r="AF184" s="10">
        <f t="shared" si="38"/>
        <v>0</v>
      </c>
      <c r="AG184" s="10">
        <f t="shared" si="38"/>
        <v>0</v>
      </c>
      <c r="AH184" s="10">
        <f t="shared" si="38"/>
        <v>48</v>
      </c>
      <c r="AI184" s="10">
        <f t="shared" si="38"/>
        <v>4</v>
      </c>
      <c r="AJ184" s="10">
        <f t="shared" si="38"/>
        <v>0</v>
      </c>
      <c r="AK184" s="10">
        <f t="shared" si="38"/>
        <v>0</v>
      </c>
      <c r="AL184" s="10">
        <f t="shared" si="38"/>
        <v>24</v>
      </c>
      <c r="AM184" s="10">
        <f>SUM(AM180-AM181+AM182)</f>
        <v>2392</v>
      </c>
      <c r="AN184" s="10">
        <f>SUM(AN180-AN181+AN182+AN183)</f>
        <v>900</v>
      </c>
      <c r="AO184" s="10">
        <f>SUM(AO180-AO181+AO182+AO183)</f>
        <v>328</v>
      </c>
    </row>
    <row r="187" spans="1:41" ht="18.75" x14ac:dyDescent="0.3">
      <c r="A187" s="16">
        <v>45930</v>
      </c>
      <c r="B187" s="27" t="s">
        <v>26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 t="s">
        <v>29</v>
      </c>
      <c r="M187" s="27"/>
      <c r="N187" s="27"/>
      <c r="O187" s="27"/>
      <c r="P187" s="27"/>
      <c r="Q187" s="27"/>
      <c r="R187" s="27"/>
      <c r="S187" s="27"/>
      <c r="T187" s="27"/>
      <c r="U187" s="27" t="s">
        <v>28</v>
      </c>
      <c r="V187" s="27"/>
      <c r="W187" s="27"/>
      <c r="X187" s="27"/>
      <c r="Y187" s="27"/>
      <c r="Z187" s="27"/>
      <c r="AA187" s="27"/>
      <c r="AB187" s="27"/>
      <c r="AC187" s="27"/>
      <c r="AD187" s="27" t="s">
        <v>27</v>
      </c>
      <c r="AE187" s="27"/>
      <c r="AF187" s="27"/>
      <c r="AG187" s="27"/>
      <c r="AH187" s="27"/>
      <c r="AI187" s="27"/>
      <c r="AJ187" s="27"/>
      <c r="AK187" s="27"/>
      <c r="AL187" s="27"/>
      <c r="AM187" s="27" t="s">
        <v>25</v>
      </c>
      <c r="AN187" s="27"/>
      <c r="AO187" s="27"/>
    </row>
    <row r="188" spans="1:41" ht="15" x14ac:dyDescent="0.25">
      <c r="A188" s="5" t="s">
        <v>74</v>
      </c>
      <c r="B188" s="1" t="s">
        <v>0</v>
      </c>
      <c r="C188" s="1" t="s">
        <v>1</v>
      </c>
      <c r="D188" s="1" t="s">
        <v>2</v>
      </c>
      <c r="E188" s="1" t="s">
        <v>3</v>
      </c>
      <c r="F188" s="1" t="s">
        <v>4</v>
      </c>
      <c r="G188" s="1" t="s">
        <v>5</v>
      </c>
      <c r="H188" s="1" t="s">
        <v>33</v>
      </c>
      <c r="I188" s="1" t="s">
        <v>6</v>
      </c>
      <c r="J188" s="1" t="s">
        <v>7</v>
      </c>
      <c r="K188" s="1" t="s">
        <v>8</v>
      </c>
      <c r="L188" s="1" t="s">
        <v>9</v>
      </c>
      <c r="M188" s="1" t="s">
        <v>30</v>
      </c>
      <c r="N188" s="1" t="s">
        <v>10</v>
      </c>
      <c r="O188" s="1" t="s">
        <v>11</v>
      </c>
      <c r="P188" s="1" t="s">
        <v>32</v>
      </c>
      <c r="Q188" s="1" t="s">
        <v>37</v>
      </c>
      <c r="R188" s="1" t="s">
        <v>31</v>
      </c>
      <c r="S188" s="6" t="s">
        <v>12</v>
      </c>
      <c r="T188" s="6" t="s">
        <v>13</v>
      </c>
      <c r="U188" s="6" t="s">
        <v>14</v>
      </c>
      <c r="V188" s="1" t="s">
        <v>30</v>
      </c>
      <c r="W188" s="6" t="s">
        <v>10</v>
      </c>
      <c r="X188" s="6" t="s">
        <v>15</v>
      </c>
      <c r="Y188" s="1" t="s">
        <v>32</v>
      </c>
      <c r="Z188" s="1" t="s">
        <v>37</v>
      </c>
      <c r="AA188" s="1" t="s">
        <v>31</v>
      </c>
      <c r="AB188" s="1" t="s">
        <v>12</v>
      </c>
      <c r="AC188" s="1" t="s">
        <v>13</v>
      </c>
      <c r="AD188" s="1" t="s">
        <v>9</v>
      </c>
      <c r="AE188" s="1" t="s">
        <v>30</v>
      </c>
      <c r="AF188" s="1" t="s">
        <v>10</v>
      </c>
      <c r="AG188" s="1" t="s">
        <v>11</v>
      </c>
      <c r="AH188" s="18" t="s">
        <v>32</v>
      </c>
      <c r="AI188" s="18" t="s">
        <v>37</v>
      </c>
      <c r="AJ188" s="1" t="s">
        <v>44</v>
      </c>
      <c r="AK188" s="7" t="s">
        <v>16</v>
      </c>
      <c r="AL188" s="8" t="s">
        <v>13</v>
      </c>
      <c r="AM188" s="1" t="s">
        <v>17</v>
      </c>
      <c r="AN188" s="8" t="s">
        <v>49</v>
      </c>
      <c r="AO188" s="8" t="s">
        <v>19</v>
      </c>
    </row>
    <row r="189" spans="1:41" ht="15" x14ac:dyDescent="0.25">
      <c r="A189" s="9" t="s">
        <v>20</v>
      </c>
      <c r="B189" s="10">
        <v>121520</v>
      </c>
      <c r="C189" s="10">
        <v>3291</v>
      </c>
      <c r="D189" s="10">
        <v>68499</v>
      </c>
      <c r="E189" s="10">
        <v>1323</v>
      </c>
      <c r="F189" s="10">
        <v>350</v>
      </c>
      <c r="G189" s="10">
        <v>35</v>
      </c>
      <c r="H189" s="3">
        <v>0</v>
      </c>
      <c r="I189" s="25">
        <v>410</v>
      </c>
      <c r="J189" s="10">
        <v>15900</v>
      </c>
      <c r="K189" s="10">
        <v>97.349000000000004</v>
      </c>
      <c r="L189" s="10">
        <v>41325</v>
      </c>
      <c r="M189" s="10">
        <v>171</v>
      </c>
      <c r="N189" s="10">
        <v>0</v>
      </c>
      <c r="O189" s="10">
        <v>87</v>
      </c>
      <c r="P189" s="10">
        <v>49288</v>
      </c>
      <c r="Q189" s="10">
        <v>4107</v>
      </c>
      <c r="R189" s="10">
        <v>152</v>
      </c>
      <c r="S189" s="10">
        <v>816</v>
      </c>
      <c r="T189" s="10">
        <v>51</v>
      </c>
      <c r="U189" s="10">
        <v>0</v>
      </c>
      <c r="V189" s="10">
        <v>32</v>
      </c>
      <c r="W189" s="10">
        <v>0</v>
      </c>
      <c r="X189" s="10">
        <v>75</v>
      </c>
      <c r="Y189" s="10">
        <v>49037</v>
      </c>
      <c r="Z189" s="10">
        <v>4086</v>
      </c>
      <c r="AA189" s="10">
        <v>27</v>
      </c>
      <c r="AB189" s="10">
        <v>907</v>
      </c>
      <c r="AC189" s="10">
        <v>51</v>
      </c>
      <c r="AD189" s="10">
        <v>41300</v>
      </c>
      <c r="AE189" s="10">
        <v>129</v>
      </c>
      <c r="AF189" s="10">
        <v>0</v>
      </c>
      <c r="AG189" s="19">
        <v>0</v>
      </c>
      <c r="AH189" s="20">
        <v>48</v>
      </c>
      <c r="AI189" s="20">
        <v>4</v>
      </c>
      <c r="AJ189" s="21">
        <v>0</v>
      </c>
      <c r="AK189" s="10">
        <v>0</v>
      </c>
      <c r="AL189" s="10">
        <v>24</v>
      </c>
      <c r="AM189" s="10">
        <v>2392</v>
      </c>
      <c r="AN189" s="10">
        <v>873</v>
      </c>
      <c r="AO189" s="10">
        <v>328</v>
      </c>
    </row>
    <row r="190" spans="1:41" ht="15" x14ac:dyDescent="0.25">
      <c r="A190" s="9" t="s">
        <v>21</v>
      </c>
      <c r="B190" s="10">
        <v>12600</v>
      </c>
      <c r="C190" s="10">
        <f>SUM(3552-122+4672-77)</f>
        <v>8025</v>
      </c>
      <c r="D190" s="10">
        <v>0</v>
      </c>
      <c r="E190" s="10">
        <f>1400+SUM(500)</f>
        <v>1900</v>
      </c>
      <c r="F190" s="10">
        <v>0</v>
      </c>
      <c r="G190" s="10">
        <v>0</v>
      </c>
      <c r="H190" s="2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f>5050+SUM(7050)</f>
        <v>12100</v>
      </c>
      <c r="AE190" s="10">
        <v>0</v>
      </c>
      <c r="AF190" s="10">
        <v>0</v>
      </c>
      <c r="AG190" s="19">
        <v>0</v>
      </c>
      <c r="AH190" s="20">
        <v>0</v>
      </c>
      <c r="AI190" s="20">
        <v>0</v>
      </c>
      <c r="AJ190" s="21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</row>
    <row r="191" spans="1:41" ht="15" x14ac:dyDescent="0.25">
      <c r="A191" s="11" t="s">
        <v>22</v>
      </c>
      <c r="B191" s="12">
        <v>3552</v>
      </c>
      <c r="C191" s="17">
        <v>3456</v>
      </c>
      <c r="D191" s="12">
        <v>1408</v>
      </c>
      <c r="E191" s="12">
        <v>1344</v>
      </c>
      <c r="F191" s="12">
        <v>0</v>
      </c>
      <c r="G191" s="12">
        <v>0</v>
      </c>
      <c r="H191" s="4">
        <v>0</v>
      </c>
      <c r="I191" s="12">
        <v>0</v>
      </c>
      <c r="J191" s="12">
        <v>500</v>
      </c>
      <c r="K191" s="12">
        <v>2.5</v>
      </c>
      <c r="L191" s="12">
        <v>5050</v>
      </c>
      <c r="M191" s="12">
        <v>0</v>
      </c>
      <c r="N191" s="12">
        <v>0</v>
      </c>
      <c r="O191" s="12">
        <v>0</v>
      </c>
      <c r="P191" s="10">
        <v>0</v>
      </c>
      <c r="Q191" s="10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22">
        <v>0</v>
      </c>
      <c r="AH191" s="20">
        <v>0</v>
      </c>
      <c r="AI191" s="20">
        <v>0</v>
      </c>
      <c r="AJ191" s="23">
        <v>0</v>
      </c>
      <c r="AK191" s="12">
        <v>0</v>
      </c>
      <c r="AL191" s="12">
        <v>0</v>
      </c>
      <c r="AM191" s="12">
        <v>0</v>
      </c>
      <c r="AN191" s="12">
        <v>126</v>
      </c>
      <c r="AO191" s="12">
        <f>113+SUM(5)</f>
        <v>118</v>
      </c>
    </row>
    <row r="192" spans="1:41" ht="15" x14ac:dyDescent="0.25">
      <c r="A192" s="13" t="s">
        <v>46</v>
      </c>
      <c r="B192" s="10">
        <v>4672</v>
      </c>
      <c r="C192" s="10">
        <f>SUM(2592+1728)</f>
        <v>4320</v>
      </c>
      <c r="D192" s="10">
        <v>550</v>
      </c>
      <c r="E192" s="10">
        <f>SUM(672+1008)</f>
        <v>1680</v>
      </c>
      <c r="F192" s="10">
        <v>0</v>
      </c>
      <c r="G192" s="10">
        <v>0</v>
      </c>
      <c r="H192" s="2">
        <v>0</v>
      </c>
      <c r="I192" s="10">
        <v>0</v>
      </c>
      <c r="J192" s="10">
        <v>700</v>
      </c>
      <c r="K192" s="10">
        <v>3.5</v>
      </c>
      <c r="L192" s="10">
        <v>7050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24">
        <v>0</v>
      </c>
      <c r="AI192" s="24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77</v>
      </c>
      <c r="AO192" s="15">
        <v>48</v>
      </c>
    </row>
    <row r="193" spans="1:41" ht="15" x14ac:dyDescent="0.25">
      <c r="A193" s="14" t="s">
        <v>24</v>
      </c>
      <c r="B193" s="10">
        <f t="shared" ref="B193:K193" si="39">SUM(B189+B190-B191-B192)</f>
        <v>125896</v>
      </c>
      <c r="C193" s="10">
        <f t="shared" si="39"/>
        <v>3540</v>
      </c>
      <c r="D193" s="10">
        <f t="shared" si="39"/>
        <v>66541</v>
      </c>
      <c r="E193" s="10">
        <f t="shared" si="39"/>
        <v>199</v>
      </c>
      <c r="F193" s="10">
        <f t="shared" si="39"/>
        <v>350</v>
      </c>
      <c r="G193" s="10">
        <f t="shared" si="39"/>
        <v>35</v>
      </c>
      <c r="H193" s="2">
        <f t="shared" si="39"/>
        <v>0</v>
      </c>
      <c r="I193" s="10">
        <f t="shared" si="39"/>
        <v>410</v>
      </c>
      <c r="J193" s="10">
        <f t="shared" si="39"/>
        <v>14700</v>
      </c>
      <c r="K193" s="10">
        <f t="shared" si="39"/>
        <v>91.349000000000004</v>
      </c>
      <c r="L193" s="10">
        <f>SUM(L189+L190+L191+L192)</f>
        <v>53425</v>
      </c>
      <c r="M193" s="10">
        <f>SUM(M189+M190+M191+M192)</f>
        <v>171</v>
      </c>
      <c r="N193" s="10">
        <f>SUM(N189+N190-N191-N192)</f>
        <v>0</v>
      </c>
      <c r="O193" s="10">
        <f>SUM(O189+O190-O191-O192)</f>
        <v>87</v>
      </c>
      <c r="P193" s="10">
        <f>SUM(P189+P190+P191)</f>
        <v>49288</v>
      </c>
      <c r="Q193" s="10">
        <f>SUM(Q189-Q190+Q191)</f>
        <v>4107</v>
      </c>
      <c r="R193" s="10">
        <f>SUM(R189-R190+R191+R192)</f>
        <v>152</v>
      </c>
      <c r="S193" s="10">
        <f>SUM(S189-S190+S191+S192)</f>
        <v>816</v>
      </c>
      <c r="T193" s="10">
        <f>SUM(T189+T190+T191+T192)</f>
        <v>51</v>
      </c>
      <c r="U193" s="10">
        <f>SUM(U189+U190-U191-U192)</f>
        <v>0</v>
      </c>
      <c r="V193" s="10">
        <f>SUM(V189+V190-V191-V192)</f>
        <v>32</v>
      </c>
      <c r="W193" s="10">
        <f>SUM(W189+W190-W191-W192)</f>
        <v>0</v>
      </c>
      <c r="X193" s="10">
        <f>SUM(X189+X190-X191-X192)</f>
        <v>75</v>
      </c>
      <c r="Y193" s="10">
        <f>SUM(Y189+Y190+Y191+Y192)</f>
        <v>49037</v>
      </c>
      <c r="Z193" s="10">
        <f>SUM(Z189+Z190+Z191+Z192)</f>
        <v>4086</v>
      </c>
      <c r="AA193" s="10">
        <f>SUM(AA189+AA190+AA191+AA192)</f>
        <v>27</v>
      </c>
      <c r="AB193" s="10">
        <f>SUM(AB189-AB190+AB191+AB192)</f>
        <v>907</v>
      </c>
      <c r="AC193" s="10">
        <f t="shared" ref="AC193:AL193" si="40">SUM(AC189+AC190-AC191-AC192)</f>
        <v>51</v>
      </c>
      <c r="AD193" s="10">
        <f t="shared" si="40"/>
        <v>53400</v>
      </c>
      <c r="AE193" s="10">
        <f t="shared" si="40"/>
        <v>129</v>
      </c>
      <c r="AF193" s="10">
        <f t="shared" si="40"/>
        <v>0</v>
      </c>
      <c r="AG193" s="10">
        <f t="shared" si="40"/>
        <v>0</v>
      </c>
      <c r="AH193" s="10">
        <f t="shared" si="40"/>
        <v>48</v>
      </c>
      <c r="AI193" s="10">
        <f t="shared" si="40"/>
        <v>4</v>
      </c>
      <c r="AJ193" s="10">
        <f t="shared" si="40"/>
        <v>0</v>
      </c>
      <c r="AK193" s="10">
        <f t="shared" si="40"/>
        <v>0</v>
      </c>
      <c r="AL193" s="10">
        <f t="shared" si="40"/>
        <v>24</v>
      </c>
      <c r="AM193" s="10">
        <f>SUM(AM189-AM190+AM191)</f>
        <v>2392</v>
      </c>
      <c r="AN193" s="10">
        <f>SUM(AN189-AN190+AN191+AN192)</f>
        <v>1076</v>
      </c>
      <c r="AO193" s="10">
        <f>SUM(AO189-AO190+AO191+AO192)</f>
        <v>494</v>
      </c>
    </row>
    <row r="196" spans="1:41" ht="18.75" x14ac:dyDescent="0.3">
      <c r="A196" s="16">
        <v>45667</v>
      </c>
      <c r="B196" s="27" t="s">
        <v>26</v>
      </c>
      <c r="C196" s="27"/>
      <c r="D196" s="27"/>
      <c r="E196" s="27"/>
      <c r="F196" s="27"/>
      <c r="G196" s="27"/>
      <c r="H196" s="27"/>
      <c r="I196" s="27"/>
      <c r="J196" s="27"/>
      <c r="K196" s="27"/>
      <c r="L196" s="27" t="s">
        <v>29</v>
      </c>
      <c r="M196" s="27"/>
      <c r="N196" s="27"/>
      <c r="O196" s="27"/>
      <c r="P196" s="27"/>
      <c r="Q196" s="27"/>
      <c r="R196" s="27"/>
      <c r="S196" s="27"/>
      <c r="T196" s="27"/>
      <c r="U196" s="27" t="s">
        <v>28</v>
      </c>
      <c r="V196" s="27"/>
      <c r="W196" s="27"/>
      <c r="X196" s="27"/>
      <c r="Y196" s="27"/>
      <c r="Z196" s="27"/>
      <c r="AA196" s="27"/>
      <c r="AB196" s="27"/>
      <c r="AC196" s="27"/>
      <c r="AD196" s="27" t="s">
        <v>27</v>
      </c>
      <c r="AE196" s="27"/>
      <c r="AF196" s="27"/>
      <c r="AG196" s="27"/>
      <c r="AH196" s="27"/>
      <c r="AI196" s="27"/>
      <c r="AJ196" s="27"/>
      <c r="AK196" s="27"/>
      <c r="AL196" s="27"/>
      <c r="AM196" s="27" t="s">
        <v>25</v>
      </c>
      <c r="AN196" s="27"/>
      <c r="AO196" s="27"/>
    </row>
    <row r="197" spans="1:41" ht="15" x14ac:dyDescent="0.25">
      <c r="A197" s="5" t="s">
        <v>74</v>
      </c>
      <c r="B197" s="1" t="s">
        <v>0</v>
      </c>
      <c r="C197" s="1" t="s">
        <v>1</v>
      </c>
      <c r="D197" s="1" t="s">
        <v>2</v>
      </c>
      <c r="E197" s="1" t="s">
        <v>3</v>
      </c>
      <c r="F197" s="1" t="s">
        <v>4</v>
      </c>
      <c r="G197" s="1" t="s">
        <v>5</v>
      </c>
      <c r="H197" s="1" t="s">
        <v>33</v>
      </c>
      <c r="I197" s="1" t="s">
        <v>6</v>
      </c>
      <c r="J197" s="1" t="s">
        <v>7</v>
      </c>
      <c r="K197" s="1" t="s">
        <v>8</v>
      </c>
      <c r="L197" s="1" t="s">
        <v>9</v>
      </c>
      <c r="M197" s="1" t="s">
        <v>30</v>
      </c>
      <c r="N197" s="1" t="s">
        <v>10</v>
      </c>
      <c r="O197" s="1" t="s">
        <v>11</v>
      </c>
      <c r="P197" s="1" t="s">
        <v>32</v>
      </c>
      <c r="Q197" s="1" t="s">
        <v>37</v>
      </c>
      <c r="R197" s="1" t="s">
        <v>31</v>
      </c>
      <c r="S197" s="6" t="s">
        <v>12</v>
      </c>
      <c r="T197" s="6" t="s">
        <v>13</v>
      </c>
      <c r="U197" s="6" t="s">
        <v>14</v>
      </c>
      <c r="V197" s="1" t="s">
        <v>30</v>
      </c>
      <c r="W197" s="6" t="s">
        <v>10</v>
      </c>
      <c r="X197" s="6" t="s">
        <v>15</v>
      </c>
      <c r="Y197" s="1" t="s">
        <v>32</v>
      </c>
      <c r="Z197" s="1" t="s">
        <v>37</v>
      </c>
      <c r="AA197" s="1" t="s">
        <v>31</v>
      </c>
      <c r="AB197" s="1" t="s">
        <v>12</v>
      </c>
      <c r="AC197" s="1" t="s">
        <v>13</v>
      </c>
      <c r="AD197" s="1" t="s">
        <v>9</v>
      </c>
      <c r="AE197" s="1" t="s">
        <v>30</v>
      </c>
      <c r="AF197" s="1" t="s">
        <v>10</v>
      </c>
      <c r="AG197" s="1" t="s">
        <v>11</v>
      </c>
      <c r="AH197" s="18" t="s">
        <v>32</v>
      </c>
      <c r="AI197" s="18" t="s">
        <v>37</v>
      </c>
      <c r="AJ197" s="1" t="s">
        <v>44</v>
      </c>
      <c r="AK197" s="7" t="s">
        <v>16</v>
      </c>
      <c r="AL197" s="8" t="s">
        <v>13</v>
      </c>
      <c r="AM197" s="1" t="s">
        <v>17</v>
      </c>
      <c r="AN197" s="8" t="s">
        <v>49</v>
      </c>
      <c r="AO197" s="8" t="s">
        <v>19</v>
      </c>
    </row>
    <row r="198" spans="1:41" ht="15" x14ac:dyDescent="0.25">
      <c r="A198" s="9" t="s">
        <v>20</v>
      </c>
      <c r="B198" s="10">
        <v>125896</v>
      </c>
      <c r="C198" s="10">
        <v>3540</v>
      </c>
      <c r="D198" s="10">
        <v>66541</v>
      </c>
      <c r="E198" s="10">
        <v>199</v>
      </c>
      <c r="F198" s="10">
        <v>350</v>
      </c>
      <c r="G198" s="10">
        <v>35</v>
      </c>
      <c r="H198" s="3">
        <v>0</v>
      </c>
      <c r="I198" s="25">
        <v>410</v>
      </c>
      <c r="J198" s="10">
        <v>14700</v>
      </c>
      <c r="K198" s="10">
        <v>91.349000000000004</v>
      </c>
      <c r="L198" s="10">
        <v>53425</v>
      </c>
      <c r="M198" s="10">
        <v>171</v>
      </c>
      <c r="N198" s="10">
        <v>0</v>
      </c>
      <c r="O198" s="10">
        <v>87</v>
      </c>
      <c r="P198" s="10">
        <v>49288</v>
      </c>
      <c r="Q198" s="10">
        <v>4107</v>
      </c>
      <c r="R198" s="10">
        <v>152</v>
      </c>
      <c r="S198" s="10">
        <v>816</v>
      </c>
      <c r="T198" s="10">
        <v>51</v>
      </c>
      <c r="U198" s="10">
        <v>0</v>
      </c>
      <c r="V198" s="10">
        <v>32</v>
      </c>
      <c r="W198" s="10">
        <v>0</v>
      </c>
      <c r="X198" s="10">
        <v>75</v>
      </c>
      <c r="Y198" s="10">
        <v>49037</v>
      </c>
      <c r="Z198" s="10">
        <v>4086</v>
      </c>
      <c r="AA198" s="10">
        <v>27</v>
      </c>
      <c r="AB198" s="10">
        <v>907</v>
      </c>
      <c r="AC198" s="10">
        <v>51</v>
      </c>
      <c r="AD198" s="10">
        <v>53400</v>
      </c>
      <c r="AE198" s="10">
        <v>129</v>
      </c>
      <c r="AF198" s="10">
        <v>0</v>
      </c>
      <c r="AG198" s="19">
        <v>0</v>
      </c>
      <c r="AH198" s="20">
        <v>48</v>
      </c>
      <c r="AI198" s="20">
        <v>4</v>
      </c>
      <c r="AJ198" s="21">
        <v>0</v>
      </c>
      <c r="AK198" s="10">
        <v>0</v>
      </c>
      <c r="AL198" s="10">
        <v>24</v>
      </c>
      <c r="AM198" s="10">
        <v>2392</v>
      </c>
      <c r="AN198" s="10">
        <v>1076</v>
      </c>
      <c r="AO198" s="10">
        <v>494</v>
      </c>
    </row>
    <row r="199" spans="1:41" ht="15" x14ac:dyDescent="0.25">
      <c r="A199" s="9" t="s">
        <v>21</v>
      </c>
      <c r="B199" s="10">
        <v>0</v>
      </c>
      <c r="C199" s="10">
        <f>SUM(2685-144+4274-69+2364-63-113)</f>
        <v>8934</v>
      </c>
      <c r="D199" s="10">
        <v>0</v>
      </c>
      <c r="E199" s="10">
        <f>SUM(879+643+843-10-100)</f>
        <v>2255</v>
      </c>
      <c r="F199" s="10">
        <v>0</v>
      </c>
      <c r="G199" s="10">
        <v>0</v>
      </c>
      <c r="H199" s="2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f>SUM(4000+4000+3525)</f>
        <v>11525</v>
      </c>
      <c r="AE199" s="10">
        <v>0</v>
      </c>
      <c r="AF199" s="10">
        <v>0</v>
      </c>
      <c r="AG199" s="19">
        <v>0</v>
      </c>
      <c r="AH199" s="20">
        <v>0</v>
      </c>
      <c r="AI199" s="20">
        <v>0</v>
      </c>
      <c r="AJ199" s="21">
        <v>0</v>
      </c>
      <c r="AK199" s="10">
        <v>0</v>
      </c>
      <c r="AL199" s="10">
        <v>0</v>
      </c>
      <c r="AM199" s="10">
        <v>0</v>
      </c>
      <c r="AN199" s="10">
        <v>1076</v>
      </c>
      <c r="AO199" s="10">
        <v>494</v>
      </c>
    </row>
    <row r="200" spans="1:41" ht="15" x14ac:dyDescent="0.25">
      <c r="A200" s="11" t="s">
        <v>22</v>
      </c>
      <c r="B200" s="12">
        <v>2685</v>
      </c>
      <c r="C200" s="17">
        <v>1152</v>
      </c>
      <c r="D200" s="12">
        <v>879</v>
      </c>
      <c r="E200" s="12">
        <v>448</v>
      </c>
      <c r="F200" s="12">
        <v>0</v>
      </c>
      <c r="G200" s="12">
        <v>0</v>
      </c>
      <c r="H200" s="4">
        <v>0</v>
      </c>
      <c r="I200" s="12">
        <v>0</v>
      </c>
      <c r="J200" s="12">
        <v>400</v>
      </c>
      <c r="K200" s="12">
        <v>2</v>
      </c>
      <c r="L200" s="12">
        <v>4000</v>
      </c>
      <c r="M200" s="12">
        <v>0</v>
      </c>
      <c r="N200" s="12">
        <v>0</v>
      </c>
      <c r="O200" s="12">
        <v>0</v>
      </c>
      <c r="P200" s="10">
        <v>0</v>
      </c>
      <c r="Q200" s="10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22">
        <v>0</v>
      </c>
      <c r="AH200" s="20">
        <v>0</v>
      </c>
      <c r="AI200" s="20">
        <v>0</v>
      </c>
      <c r="AJ200" s="23">
        <v>0</v>
      </c>
      <c r="AK200" s="12">
        <v>0</v>
      </c>
      <c r="AL200" s="12">
        <v>0</v>
      </c>
      <c r="AM200" s="12">
        <v>0</v>
      </c>
      <c r="AN200" s="12">
        <f>140+SUM(2)</f>
        <v>142</v>
      </c>
      <c r="AO200" s="12">
        <v>4</v>
      </c>
    </row>
    <row r="201" spans="1:41" ht="15" x14ac:dyDescent="0.25">
      <c r="A201" s="13" t="s">
        <v>46</v>
      </c>
      <c r="B201" s="10">
        <v>4274</v>
      </c>
      <c r="C201" s="10">
        <v>2880</v>
      </c>
      <c r="D201" s="10">
        <v>643</v>
      </c>
      <c r="E201" s="10">
        <v>1120</v>
      </c>
      <c r="F201" s="10">
        <v>0</v>
      </c>
      <c r="G201" s="10">
        <v>0</v>
      </c>
      <c r="H201" s="2">
        <v>0</v>
      </c>
      <c r="I201" s="10">
        <v>0</v>
      </c>
      <c r="J201" s="10">
        <v>400</v>
      </c>
      <c r="K201" s="10">
        <v>2</v>
      </c>
      <c r="L201" s="10">
        <v>4000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24">
        <v>0</v>
      </c>
      <c r="AI201" s="24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f>SUM(69+2)</f>
        <v>71</v>
      </c>
      <c r="AO201" s="15">
        <v>7</v>
      </c>
    </row>
    <row r="202" spans="1:41" ht="15" x14ac:dyDescent="0.25">
      <c r="A202" s="13" t="s">
        <v>47</v>
      </c>
      <c r="B202" s="10">
        <v>2364</v>
      </c>
      <c r="C202" s="10">
        <v>1728</v>
      </c>
      <c r="D202" s="10">
        <v>843</v>
      </c>
      <c r="E202" s="10">
        <v>672</v>
      </c>
      <c r="F202" s="10">
        <v>0</v>
      </c>
      <c r="G202" s="10">
        <v>0</v>
      </c>
      <c r="H202" s="2">
        <v>0</v>
      </c>
      <c r="I202" s="10">
        <v>0</v>
      </c>
      <c r="J202" s="10">
        <v>350</v>
      </c>
      <c r="K202" s="10">
        <v>1.75</v>
      </c>
      <c r="L202" s="10">
        <v>3525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24">
        <v>0</v>
      </c>
      <c r="AI202" s="24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f>63+SUM(5)</f>
        <v>68</v>
      </c>
      <c r="AO202" s="15">
        <v>16</v>
      </c>
    </row>
    <row r="203" spans="1:41" ht="15" x14ac:dyDescent="0.25">
      <c r="A203" s="14" t="s">
        <v>24</v>
      </c>
      <c r="B203" s="10">
        <f t="shared" ref="B203:K203" si="41">SUM(B198+B199-B200-B201-B202)</f>
        <v>116573</v>
      </c>
      <c r="C203" s="10">
        <f t="shared" si="41"/>
        <v>6714</v>
      </c>
      <c r="D203" s="10">
        <f t="shared" si="41"/>
        <v>64176</v>
      </c>
      <c r="E203" s="10">
        <f t="shared" si="41"/>
        <v>214</v>
      </c>
      <c r="F203" s="10">
        <f t="shared" si="41"/>
        <v>350</v>
      </c>
      <c r="G203" s="10">
        <f t="shared" si="41"/>
        <v>35</v>
      </c>
      <c r="H203" s="2">
        <f t="shared" si="41"/>
        <v>0</v>
      </c>
      <c r="I203" s="10">
        <f t="shared" si="41"/>
        <v>410</v>
      </c>
      <c r="J203" s="10">
        <f t="shared" si="41"/>
        <v>13550</v>
      </c>
      <c r="K203" s="10">
        <f t="shared" si="41"/>
        <v>85.599000000000004</v>
      </c>
      <c r="L203" s="10">
        <f>SUM(L198+L199+L200+L201+L202)</f>
        <v>64950</v>
      </c>
      <c r="M203" s="10">
        <f>SUM(M198+M199+M200+M201+M202)</f>
        <v>171</v>
      </c>
      <c r="N203" s="10">
        <f>SUM(N198+N199-N200-N201-N202)</f>
        <v>0</v>
      </c>
      <c r="O203" s="10">
        <f>SUM(O198+O199-O200-O201-O202)</f>
        <v>87</v>
      </c>
      <c r="P203" s="10">
        <f>SUM(P198+P199+P200+P202)</f>
        <v>49288</v>
      </c>
      <c r="Q203" s="10">
        <f>SUM(Q198-Q199+Q200+Q201+Q202)</f>
        <v>4107</v>
      </c>
      <c r="R203" s="10">
        <f>SUM(R198-R199+R200+R201+R202)</f>
        <v>152</v>
      </c>
      <c r="S203" s="10">
        <f>SUM(S198-S199+S200+S201+S202)</f>
        <v>816</v>
      </c>
      <c r="T203" s="10">
        <f>SUM(T198+T199+T200+T201+T202)</f>
        <v>51</v>
      </c>
      <c r="U203" s="10">
        <f>SUM(U198+U199-U200-U201-U202)</f>
        <v>0</v>
      </c>
      <c r="V203" s="10">
        <f>SUM(V198+V199-V200-V201-V202)</f>
        <v>32</v>
      </c>
      <c r="W203" s="10">
        <f>SUM(W198+W199-W200-W201-W202)</f>
        <v>0</v>
      </c>
      <c r="X203" s="10">
        <f>SUM(X198+X199-X200-X201-X202)</f>
        <v>75</v>
      </c>
      <c r="Y203" s="10">
        <f>SUM(Y198+Y199+Y200+Y201+Y202)</f>
        <v>49037</v>
      </c>
      <c r="Z203" s="10">
        <f>SUM(Z198+Z199+Z200+Z201+Z202)</f>
        <v>4086</v>
      </c>
      <c r="AA203" s="10">
        <f>SUM(AA198+AA199+AA200+AA201+AA202)</f>
        <v>27</v>
      </c>
      <c r="AB203" s="10">
        <f>SUM(AB198-AB199+AB200+AB201+AB202)</f>
        <v>907</v>
      </c>
      <c r="AC203" s="10">
        <f t="shared" ref="AC203:AL203" si="42">SUM(AC198+AC199-AC200-AC201-AC202)</f>
        <v>51</v>
      </c>
      <c r="AD203" s="10">
        <f t="shared" si="42"/>
        <v>64925</v>
      </c>
      <c r="AE203" s="10">
        <f t="shared" si="42"/>
        <v>129</v>
      </c>
      <c r="AF203" s="10">
        <f t="shared" si="42"/>
        <v>0</v>
      </c>
      <c r="AG203" s="10">
        <f t="shared" si="42"/>
        <v>0</v>
      </c>
      <c r="AH203" s="10">
        <f t="shared" si="42"/>
        <v>48</v>
      </c>
      <c r="AI203" s="10">
        <f t="shared" si="42"/>
        <v>4</v>
      </c>
      <c r="AJ203" s="10">
        <f t="shared" si="42"/>
        <v>0</v>
      </c>
      <c r="AK203" s="10">
        <f t="shared" si="42"/>
        <v>0</v>
      </c>
      <c r="AL203" s="10">
        <f t="shared" si="42"/>
        <v>24</v>
      </c>
      <c r="AM203" s="10">
        <f>SUM(AM198-AM199+AM200-AM201-AM202)</f>
        <v>2392</v>
      </c>
      <c r="AN203" s="10">
        <f>SUM(AN198-AN199+AN200+AN201+AN202)</f>
        <v>281</v>
      </c>
      <c r="AO203" s="10">
        <f>SUM(AO198-AO199+AO200+AO201+AO202)</f>
        <v>27</v>
      </c>
    </row>
    <row r="206" spans="1:41" ht="18.75" x14ac:dyDescent="0.3">
      <c r="A206" s="16">
        <v>45698</v>
      </c>
      <c r="B206" s="27" t="s">
        <v>26</v>
      </c>
      <c r="C206" s="27"/>
      <c r="D206" s="27"/>
      <c r="E206" s="27"/>
      <c r="F206" s="27"/>
      <c r="G206" s="27"/>
      <c r="H206" s="27"/>
      <c r="I206" s="27"/>
      <c r="J206" s="27"/>
      <c r="K206" s="27"/>
      <c r="L206" s="27" t="s">
        <v>29</v>
      </c>
      <c r="M206" s="27"/>
      <c r="N206" s="27"/>
      <c r="O206" s="27"/>
      <c r="P206" s="27"/>
      <c r="Q206" s="27"/>
      <c r="R206" s="27"/>
      <c r="S206" s="27"/>
      <c r="T206" s="27"/>
      <c r="U206" s="27" t="s">
        <v>28</v>
      </c>
      <c r="V206" s="27"/>
      <c r="W206" s="27"/>
      <c r="X206" s="27"/>
      <c r="Y206" s="27"/>
      <c r="Z206" s="27"/>
      <c r="AA206" s="27"/>
      <c r="AB206" s="27"/>
      <c r="AC206" s="27"/>
      <c r="AD206" s="27" t="s">
        <v>27</v>
      </c>
      <c r="AE206" s="27"/>
      <c r="AF206" s="27"/>
      <c r="AG206" s="27"/>
      <c r="AH206" s="27"/>
      <c r="AI206" s="27"/>
      <c r="AJ206" s="27"/>
      <c r="AK206" s="27"/>
      <c r="AL206" s="27"/>
      <c r="AM206" s="27" t="s">
        <v>25</v>
      </c>
      <c r="AN206" s="27"/>
      <c r="AO206" s="27"/>
    </row>
    <row r="207" spans="1:41" ht="15" x14ac:dyDescent="0.25">
      <c r="A207" s="5" t="s">
        <v>74</v>
      </c>
      <c r="B207" s="1" t="s">
        <v>0</v>
      </c>
      <c r="C207" s="1" t="s">
        <v>1</v>
      </c>
      <c r="D207" s="1" t="s">
        <v>2</v>
      </c>
      <c r="E207" s="1" t="s">
        <v>3</v>
      </c>
      <c r="F207" s="1" t="s">
        <v>4</v>
      </c>
      <c r="G207" s="1" t="s">
        <v>5</v>
      </c>
      <c r="H207" s="1" t="s">
        <v>33</v>
      </c>
      <c r="I207" s="1" t="s">
        <v>6</v>
      </c>
      <c r="J207" s="1" t="s">
        <v>7</v>
      </c>
      <c r="K207" s="1" t="s">
        <v>8</v>
      </c>
      <c r="L207" s="1" t="s">
        <v>9</v>
      </c>
      <c r="M207" s="1" t="s">
        <v>30</v>
      </c>
      <c r="N207" s="1" t="s">
        <v>10</v>
      </c>
      <c r="O207" s="1" t="s">
        <v>11</v>
      </c>
      <c r="P207" s="1" t="s">
        <v>32</v>
      </c>
      <c r="Q207" s="1" t="s">
        <v>37</v>
      </c>
      <c r="R207" s="1" t="s">
        <v>31</v>
      </c>
      <c r="S207" s="6" t="s">
        <v>12</v>
      </c>
      <c r="T207" s="6" t="s">
        <v>13</v>
      </c>
      <c r="U207" s="6" t="s">
        <v>14</v>
      </c>
      <c r="V207" s="1" t="s">
        <v>30</v>
      </c>
      <c r="W207" s="6" t="s">
        <v>10</v>
      </c>
      <c r="X207" s="6" t="s">
        <v>15</v>
      </c>
      <c r="Y207" s="1" t="s">
        <v>32</v>
      </c>
      <c r="Z207" s="1" t="s">
        <v>37</v>
      </c>
      <c r="AA207" s="1" t="s">
        <v>31</v>
      </c>
      <c r="AB207" s="1" t="s">
        <v>12</v>
      </c>
      <c r="AC207" s="1" t="s">
        <v>13</v>
      </c>
      <c r="AD207" s="1" t="s">
        <v>9</v>
      </c>
      <c r="AE207" s="1" t="s">
        <v>30</v>
      </c>
      <c r="AF207" s="1" t="s">
        <v>10</v>
      </c>
      <c r="AG207" s="1" t="s">
        <v>11</v>
      </c>
      <c r="AH207" s="18" t="s">
        <v>32</v>
      </c>
      <c r="AI207" s="18" t="s">
        <v>37</v>
      </c>
      <c r="AJ207" s="1" t="s">
        <v>44</v>
      </c>
      <c r="AK207" s="7" t="s">
        <v>16</v>
      </c>
      <c r="AL207" s="8" t="s">
        <v>13</v>
      </c>
      <c r="AM207" s="1" t="s">
        <v>17</v>
      </c>
      <c r="AN207" s="8" t="s">
        <v>49</v>
      </c>
      <c r="AO207" s="8" t="s">
        <v>19</v>
      </c>
    </row>
    <row r="208" spans="1:41" ht="15" x14ac:dyDescent="0.25">
      <c r="A208" s="9" t="s">
        <v>20</v>
      </c>
      <c r="B208" s="10">
        <v>116573</v>
      </c>
      <c r="C208" s="10">
        <v>6714</v>
      </c>
      <c r="D208" s="10">
        <v>64176</v>
      </c>
      <c r="E208" s="10">
        <v>214</v>
      </c>
      <c r="F208" s="10">
        <v>350</v>
      </c>
      <c r="G208" s="10">
        <v>35</v>
      </c>
      <c r="H208" s="3">
        <v>0</v>
      </c>
      <c r="I208" s="25">
        <v>410</v>
      </c>
      <c r="J208" s="10">
        <v>13550</v>
      </c>
      <c r="K208" s="10">
        <v>85.599000000000004</v>
      </c>
      <c r="L208" s="10">
        <v>64950</v>
      </c>
      <c r="M208" s="10">
        <v>171</v>
      </c>
      <c r="N208" s="10">
        <v>0</v>
      </c>
      <c r="O208" s="10">
        <v>87</v>
      </c>
      <c r="P208" s="10">
        <v>49288</v>
      </c>
      <c r="Q208" s="10">
        <v>4107</v>
      </c>
      <c r="R208" s="10">
        <v>152</v>
      </c>
      <c r="S208" s="10">
        <v>816</v>
      </c>
      <c r="T208" s="10">
        <v>51</v>
      </c>
      <c r="U208" s="10">
        <v>0</v>
      </c>
      <c r="V208" s="10">
        <v>32</v>
      </c>
      <c r="W208" s="10">
        <v>0</v>
      </c>
      <c r="X208" s="10">
        <v>75</v>
      </c>
      <c r="Y208" s="10">
        <v>49037</v>
      </c>
      <c r="Z208" s="10">
        <v>4086</v>
      </c>
      <c r="AA208" s="10">
        <v>27</v>
      </c>
      <c r="AB208" s="10">
        <v>907</v>
      </c>
      <c r="AC208" s="10">
        <v>51</v>
      </c>
      <c r="AD208" s="10">
        <v>64925</v>
      </c>
      <c r="AE208" s="10">
        <v>129</v>
      </c>
      <c r="AF208" s="10">
        <v>0</v>
      </c>
      <c r="AG208" s="19">
        <v>0</v>
      </c>
      <c r="AH208" s="20">
        <v>48</v>
      </c>
      <c r="AI208" s="20">
        <v>4</v>
      </c>
      <c r="AJ208" s="21">
        <v>0</v>
      </c>
      <c r="AK208" s="10">
        <v>0</v>
      </c>
      <c r="AL208" s="10">
        <v>24</v>
      </c>
      <c r="AM208" s="10">
        <v>2392</v>
      </c>
      <c r="AN208" s="10">
        <v>281</v>
      </c>
      <c r="AO208" s="10">
        <v>27</v>
      </c>
    </row>
    <row r="209" spans="1:41" ht="15" x14ac:dyDescent="0.25">
      <c r="A209" s="9" t="s">
        <v>21</v>
      </c>
      <c r="B209" s="10">
        <f>SUM(12600+12600)</f>
        <v>25200</v>
      </c>
      <c r="C209" s="10">
        <f>SUM(2454+2686+1972-63-45-33)</f>
        <v>6971</v>
      </c>
      <c r="D209" s="10">
        <v>0</v>
      </c>
      <c r="E209" s="10">
        <f>SUM(1878+1060-28-31-100-33)</f>
        <v>2746</v>
      </c>
      <c r="F209" s="10">
        <v>0</v>
      </c>
      <c r="G209" s="10">
        <v>0</v>
      </c>
      <c r="H209" s="2">
        <v>0</v>
      </c>
      <c r="I209" s="10">
        <v>0</v>
      </c>
      <c r="J209" s="10">
        <v>0</v>
      </c>
      <c r="K209" s="10">
        <v>25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f>SUM(4000+4000+4050)</f>
        <v>12050</v>
      </c>
      <c r="AE209" s="10">
        <v>0</v>
      </c>
      <c r="AF209" s="10">
        <v>0</v>
      </c>
      <c r="AG209" s="19">
        <v>0</v>
      </c>
      <c r="AH209" s="20">
        <v>0</v>
      </c>
      <c r="AI209" s="20">
        <v>0</v>
      </c>
      <c r="AJ209" s="21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</row>
    <row r="210" spans="1:41" ht="15" x14ac:dyDescent="0.25">
      <c r="A210" s="11" t="s">
        <v>22</v>
      </c>
      <c r="B210" s="12">
        <v>2454</v>
      </c>
      <c r="C210" s="17">
        <v>2880</v>
      </c>
      <c r="D210" s="12">
        <v>1878</v>
      </c>
      <c r="E210" s="12">
        <v>1120</v>
      </c>
      <c r="F210" s="12">
        <v>0</v>
      </c>
      <c r="G210" s="12">
        <v>0</v>
      </c>
      <c r="H210" s="4">
        <v>0</v>
      </c>
      <c r="I210" s="12">
        <v>0</v>
      </c>
      <c r="J210" s="12">
        <v>400</v>
      </c>
      <c r="K210" s="12">
        <v>2</v>
      </c>
      <c r="L210" s="12">
        <v>4000</v>
      </c>
      <c r="M210" s="12">
        <v>0</v>
      </c>
      <c r="N210" s="12">
        <v>0</v>
      </c>
      <c r="O210" s="12">
        <v>0</v>
      </c>
      <c r="P210" s="10">
        <v>0</v>
      </c>
      <c r="Q210" s="10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22">
        <v>0</v>
      </c>
      <c r="AH210" s="20">
        <v>0</v>
      </c>
      <c r="AI210" s="20">
        <v>0</v>
      </c>
      <c r="AJ210" s="23">
        <v>0</v>
      </c>
      <c r="AK210" s="12">
        <v>0</v>
      </c>
      <c r="AL210" s="12">
        <v>0</v>
      </c>
      <c r="AM210" s="12">
        <v>0</v>
      </c>
      <c r="AN210" s="12">
        <v>91</v>
      </c>
      <c r="AO210" s="12">
        <v>36</v>
      </c>
    </row>
    <row r="211" spans="1:41" ht="15" x14ac:dyDescent="0.25">
      <c r="A211" s="13" t="s">
        <v>46</v>
      </c>
      <c r="B211" s="10">
        <v>2686</v>
      </c>
      <c r="C211" s="10">
        <v>2304</v>
      </c>
      <c r="D211" s="10">
        <v>0</v>
      </c>
      <c r="E211" s="10">
        <v>896</v>
      </c>
      <c r="F211" s="10">
        <v>0</v>
      </c>
      <c r="G211" s="10">
        <v>0</v>
      </c>
      <c r="H211" s="2">
        <v>0</v>
      </c>
      <c r="I211" s="10">
        <v>0</v>
      </c>
      <c r="J211" s="10">
        <v>400</v>
      </c>
      <c r="K211" s="10">
        <v>2</v>
      </c>
      <c r="L211" s="10">
        <v>4000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24">
        <v>0</v>
      </c>
      <c r="AI211" s="24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76</v>
      </c>
      <c r="AO211" s="15">
        <v>111</v>
      </c>
    </row>
    <row r="212" spans="1:41" ht="15" x14ac:dyDescent="0.25">
      <c r="A212" s="13" t="s">
        <v>47</v>
      </c>
      <c r="B212" s="10">
        <v>1972</v>
      </c>
      <c r="C212" s="10">
        <v>1440</v>
      </c>
      <c r="D212" s="10">
        <v>1060</v>
      </c>
      <c r="E212" s="10">
        <v>560</v>
      </c>
      <c r="F212" s="10">
        <v>0</v>
      </c>
      <c r="G212" s="10">
        <v>0</v>
      </c>
      <c r="H212" s="2">
        <v>0</v>
      </c>
      <c r="I212" s="10">
        <v>0</v>
      </c>
      <c r="J212" s="10">
        <v>400</v>
      </c>
      <c r="K212" s="10">
        <v>2</v>
      </c>
      <c r="L212" s="10">
        <v>4050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24">
        <v>0</v>
      </c>
      <c r="AI212" s="24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66</v>
      </c>
      <c r="AO212" s="15">
        <v>76</v>
      </c>
    </row>
    <row r="213" spans="1:41" ht="15" x14ac:dyDescent="0.25">
      <c r="A213" s="14" t="s">
        <v>24</v>
      </c>
      <c r="B213" s="10">
        <f t="shared" ref="B213:K213" si="43">SUM(B208+B209-B210-B211-B212)</f>
        <v>134661</v>
      </c>
      <c r="C213" s="10">
        <f t="shared" si="43"/>
        <v>7061</v>
      </c>
      <c r="D213" s="10">
        <f t="shared" si="43"/>
        <v>61238</v>
      </c>
      <c r="E213" s="10">
        <f t="shared" si="43"/>
        <v>384</v>
      </c>
      <c r="F213" s="10">
        <f t="shared" si="43"/>
        <v>350</v>
      </c>
      <c r="G213" s="10">
        <f t="shared" si="43"/>
        <v>35</v>
      </c>
      <c r="H213" s="2">
        <f t="shared" si="43"/>
        <v>0</v>
      </c>
      <c r="I213" s="10">
        <f t="shared" si="43"/>
        <v>410</v>
      </c>
      <c r="J213" s="10">
        <f t="shared" si="43"/>
        <v>12350</v>
      </c>
      <c r="K213" s="10">
        <f t="shared" si="43"/>
        <v>104.599</v>
      </c>
      <c r="L213" s="10">
        <f>SUM(L208+L209+L210+L211+L212)</f>
        <v>77000</v>
      </c>
      <c r="M213" s="10">
        <f>SUM(M208+M209+M210+M211+M212)</f>
        <v>171</v>
      </c>
      <c r="N213" s="10">
        <f>SUM(N208+N209-N210-N211-N212)</f>
        <v>0</v>
      </c>
      <c r="O213" s="10">
        <f>SUM(O208+O209-O210-O211-O212)</f>
        <v>87</v>
      </c>
      <c r="P213" s="10">
        <f>SUM(P208+P209+P210+P212)</f>
        <v>49288</v>
      </c>
      <c r="Q213" s="10">
        <f>SUM(Q208-Q209+Q210+Q211+Q212)</f>
        <v>4107</v>
      </c>
      <c r="R213" s="10">
        <f>SUM(R208-R209+R210+R211+R212)</f>
        <v>152</v>
      </c>
      <c r="S213" s="10">
        <f>SUM(S208-S209+S210+S211+S212)</f>
        <v>816</v>
      </c>
      <c r="T213" s="10">
        <f>SUM(T208+T209+T210+T211+T212)</f>
        <v>51</v>
      </c>
      <c r="U213" s="10">
        <f>SUM(U208+U209-U210-U211-U212)</f>
        <v>0</v>
      </c>
      <c r="V213" s="10">
        <f>SUM(V208+V209-V210-V211-V212)</f>
        <v>32</v>
      </c>
      <c r="W213" s="10">
        <f>SUM(W208+W209-W210-W211-W212)</f>
        <v>0</v>
      </c>
      <c r="X213" s="10">
        <f>SUM(X208+X209-X210-X211-X212)</f>
        <v>75</v>
      </c>
      <c r="Y213" s="10">
        <f>SUM(Y208+Y209+Y210+Y211+Y212)</f>
        <v>49037</v>
      </c>
      <c r="Z213" s="10">
        <f>SUM(Z208+Z209+Z210+Z211+Z212)</f>
        <v>4086</v>
      </c>
      <c r="AA213" s="10">
        <f>SUM(AA208+AA209+AA210+AA211+AA212)</f>
        <v>27</v>
      </c>
      <c r="AB213" s="10">
        <f>SUM(AB208-AB209+AB210+AB211+AB212)</f>
        <v>907</v>
      </c>
      <c r="AC213" s="10">
        <f t="shared" ref="AC213:AL213" si="44">SUM(AC208+AC209-AC210-AC211-AC212)</f>
        <v>51</v>
      </c>
      <c r="AD213" s="10">
        <f t="shared" si="44"/>
        <v>76975</v>
      </c>
      <c r="AE213" s="10">
        <f t="shared" si="44"/>
        <v>129</v>
      </c>
      <c r="AF213" s="10">
        <f t="shared" si="44"/>
        <v>0</v>
      </c>
      <c r="AG213" s="10">
        <f t="shared" si="44"/>
        <v>0</v>
      </c>
      <c r="AH213" s="10">
        <f t="shared" si="44"/>
        <v>48</v>
      </c>
      <c r="AI213" s="10">
        <f t="shared" si="44"/>
        <v>4</v>
      </c>
      <c r="AJ213" s="10">
        <f t="shared" si="44"/>
        <v>0</v>
      </c>
      <c r="AK213" s="10">
        <f t="shared" si="44"/>
        <v>0</v>
      </c>
      <c r="AL213" s="10">
        <f t="shared" si="44"/>
        <v>24</v>
      </c>
      <c r="AM213" s="10">
        <f>SUM(AM208-AM209+AM210-AM211-AM212)</f>
        <v>2392</v>
      </c>
      <c r="AN213" s="10">
        <f>SUM(AN208-AN209+AN210+AN211+AN212)</f>
        <v>514</v>
      </c>
      <c r="AO213" s="10">
        <f>SUM(AO208-AO209+AO210+AO211+AO212)</f>
        <v>250</v>
      </c>
    </row>
    <row r="216" spans="1:41" ht="18.75" x14ac:dyDescent="0.3">
      <c r="A216" s="16">
        <v>45726</v>
      </c>
      <c r="B216" s="27" t="s">
        <v>26</v>
      </c>
      <c r="C216" s="27"/>
      <c r="D216" s="27"/>
      <c r="E216" s="27"/>
      <c r="F216" s="27"/>
      <c r="G216" s="27"/>
      <c r="H216" s="27"/>
      <c r="I216" s="27"/>
      <c r="J216" s="27"/>
      <c r="K216" s="27"/>
      <c r="L216" s="27" t="s">
        <v>29</v>
      </c>
      <c r="M216" s="27"/>
      <c r="N216" s="27"/>
      <c r="O216" s="27"/>
      <c r="P216" s="27"/>
      <c r="Q216" s="27"/>
      <c r="R216" s="27"/>
      <c r="S216" s="27"/>
      <c r="T216" s="27"/>
      <c r="U216" s="27" t="s">
        <v>28</v>
      </c>
      <c r="V216" s="27"/>
      <c r="W216" s="27"/>
      <c r="X216" s="27"/>
      <c r="Y216" s="27"/>
      <c r="Z216" s="27"/>
      <c r="AA216" s="27"/>
      <c r="AB216" s="27"/>
      <c r="AC216" s="27"/>
      <c r="AD216" s="27" t="s">
        <v>27</v>
      </c>
      <c r="AE216" s="27"/>
      <c r="AF216" s="27"/>
      <c r="AG216" s="27"/>
      <c r="AH216" s="27"/>
      <c r="AI216" s="27"/>
      <c r="AJ216" s="27"/>
      <c r="AK216" s="27"/>
      <c r="AL216" s="27"/>
      <c r="AM216" s="27" t="s">
        <v>25</v>
      </c>
      <c r="AN216" s="27"/>
      <c r="AO216" s="27"/>
    </row>
    <row r="217" spans="1:41" ht="15" x14ac:dyDescent="0.25">
      <c r="A217" s="5" t="s">
        <v>74</v>
      </c>
      <c r="B217" s="1" t="s">
        <v>0</v>
      </c>
      <c r="C217" s="1" t="s">
        <v>1</v>
      </c>
      <c r="D217" s="1" t="s">
        <v>2</v>
      </c>
      <c r="E217" s="1" t="s">
        <v>3</v>
      </c>
      <c r="F217" s="1" t="s">
        <v>4</v>
      </c>
      <c r="G217" s="1" t="s">
        <v>5</v>
      </c>
      <c r="H217" s="1" t="s">
        <v>33</v>
      </c>
      <c r="I217" s="1" t="s">
        <v>6</v>
      </c>
      <c r="J217" s="1" t="s">
        <v>7</v>
      </c>
      <c r="K217" s="1" t="s">
        <v>8</v>
      </c>
      <c r="L217" s="1" t="s">
        <v>9</v>
      </c>
      <c r="M217" s="1" t="s">
        <v>30</v>
      </c>
      <c r="N217" s="1" t="s">
        <v>10</v>
      </c>
      <c r="O217" s="1" t="s">
        <v>11</v>
      </c>
      <c r="P217" s="1" t="s">
        <v>32</v>
      </c>
      <c r="Q217" s="1" t="s">
        <v>37</v>
      </c>
      <c r="R217" s="1" t="s">
        <v>31</v>
      </c>
      <c r="S217" s="6" t="s">
        <v>12</v>
      </c>
      <c r="T217" s="6" t="s">
        <v>13</v>
      </c>
      <c r="U217" s="6" t="s">
        <v>14</v>
      </c>
      <c r="V217" s="1" t="s">
        <v>30</v>
      </c>
      <c r="W217" s="6" t="s">
        <v>10</v>
      </c>
      <c r="X217" s="6" t="s">
        <v>15</v>
      </c>
      <c r="Y217" s="1" t="s">
        <v>32</v>
      </c>
      <c r="Z217" s="1" t="s">
        <v>37</v>
      </c>
      <c r="AA217" s="1" t="s">
        <v>31</v>
      </c>
      <c r="AB217" s="1" t="s">
        <v>12</v>
      </c>
      <c r="AC217" s="1" t="s">
        <v>13</v>
      </c>
      <c r="AD217" s="1" t="s">
        <v>9</v>
      </c>
      <c r="AE217" s="1" t="s">
        <v>30</v>
      </c>
      <c r="AF217" s="1" t="s">
        <v>10</v>
      </c>
      <c r="AG217" s="1" t="s">
        <v>11</v>
      </c>
      <c r="AH217" s="18" t="s">
        <v>32</v>
      </c>
      <c r="AI217" s="18" t="s">
        <v>37</v>
      </c>
      <c r="AJ217" s="1" t="s">
        <v>44</v>
      </c>
      <c r="AK217" s="7" t="s">
        <v>16</v>
      </c>
      <c r="AL217" s="8" t="s">
        <v>13</v>
      </c>
      <c r="AM217" s="1" t="s">
        <v>17</v>
      </c>
      <c r="AN217" s="8" t="s">
        <v>57</v>
      </c>
      <c r="AO217" s="8" t="s">
        <v>19</v>
      </c>
    </row>
    <row r="218" spans="1:41" ht="15" x14ac:dyDescent="0.25">
      <c r="A218" s="9" t="s">
        <v>20</v>
      </c>
      <c r="B218" s="10">
        <v>134661</v>
      </c>
      <c r="C218" s="10">
        <v>7061</v>
      </c>
      <c r="D218" s="10">
        <v>61238</v>
      </c>
      <c r="E218" s="10">
        <v>384</v>
      </c>
      <c r="F218" s="10">
        <v>350</v>
      </c>
      <c r="G218" s="10">
        <v>35</v>
      </c>
      <c r="H218" s="3">
        <v>0</v>
      </c>
      <c r="I218" s="25">
        <v>410</v>
      </c>
      <c r="J218" s="10">
        <v>12350</v>
      </c>
      <c r="K218" s="10">
        <v>98.599000000000004</v>
      </c>
      <c r="L218" s="10">
        <v>77000</v>
      </c>
      <c r="M218" s="10">
        <v>171</v>
      </c>
      <c r="N218" s="10">
        <v>0</v>
      </c>
      <c r="O218" s="10">
        <v>87</v>
      </c>
      <c r="P218" s="10">
        <v>49288</v>
      </c>
      <c r="Q218" s="10">
        <v>4107</v>
      </c>
      <c r="R218" s="10">
        <v>152</v>
      </c>
      <c r="S218" s="10">
        <v>816</v>
      </c>
      <c r="T218" s="10">
        <v>51</v>
      </c>
      <c r="U218" s="10">
        <v>0</v>
      </c>
      <c r="V218" s="10">
        <v>32</v>
      </c>
      <c r="W218" s="10">
        <v>0</v>
      </c>
      <c r="X218" s="10">
        <v>75</v>
      </c>
      <c r="Y218" s="10">
        <v>49037</v>
      </c>
      <c r="Z218" s="10">
        <v>4086</v>
      </c>
      <c r="AA218" s="10">
        <v>27</v>
      </c>
      <c r="AB218" s="10">
        <v>907</v>
      </c>
      <c r="AC218" s="10">
        <v>51</v>
      </c>
      <c r="AD218" s="10">
        <v>76975</v>
      </c>
      <c r="AE218" s="10">
        <v>129</v>
      </c>
      <c r="AF218" s="10">
        <v>0</v>
      </c>
      <c r="AG218" s="19">
        <v>0</v>
      </c>
      <c r="AH218" s="20">
        <v>48</v>
      </c>
      <c r="AI218" s="20">
        <v>4</v>
      </c>
      <c r="AJ218" s="21">
        <v>0</v>
      </c>
      <c r="AK218" s="10">
        <v>0</v>
      </c>
      <c r="AL218" s="10">
        <v>24</v>
      </c>
      <c r="AM218" s="10">
        <v>2392</v>
      </c>
      <c r="AN218" s="10">
        <v>514</v>
      </c>
      <c r="AO218" s="10">
        <v>250</v>
      </c>
    </row>
    <row r="219" spans="1:41" ht="15" x14ac:dyDescent="0.25">
      <c r="A219" s="9" t="s">
        <v>21</v>
      </c>
      <c r="B219" s="10">
        <f>SUM(12600+30040)</f>
        <v>42640</v>
      </c>
      <c r="C219" s="10">
        <f>SUM(2960-54+450-43+5685-145-550-910-100)</f>
        <v>7293</v>
      </c>
      <c r="D219" s="10">
        <v>0</v>
      </c>
      <c r="E219" s="10">
        <v>1150</v>
      </c>
      <c r="F219" s="10">
        <v>23500</v>
      </c>
      <c r="G219" s="10">
        <f>SUM(1714+2045-13-3)</f>
        <v>3743</v>
      </c>
      <c r="H219" s="2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f>SUM(3500+6000+6025)</f>
        <v>15525</v>
      </c>
      <c r="AE219" s="10">
        <v>0</v>
      </c>
      <c r="AF219" s="10">
        <v>0</v>
      </c>
      <c r="AG219" s="19">
        <v>0</v>
      </c>
      <c r="AH219" s="20">
        <v>0</v>
      </c>
      <c r="AI219" s="20">
        <v>0</v>
      </c>
      <c r="AJ219" s="21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</row>
    <row r="220" spans="1:41" ht="15" x14ac:dyDescent="0.25">
      <c r="A220" s="11" t="s">
        <v>22</v>
      </c>
      <c r="B220" s="12">
        <v>2960</v>
      </c>
      <c r="C220" s="17">
        <v>2304</v>
      </c>
      <c r="D220" s="12">
        <v>1238</v>
      </c>
      <c r="E220" s="12">
        <v>896</v>
      </c>
      <c r="F220" s="12">
        <v>0</v>
      </c>
      <c r="G220" s="12">
        <v>0</v>
      </c>
      <c r="H220" s="4">
        <v>0</v>
      </c>
      <c r="I220" s="12">
        <v>0</v>
      </c>
      <c r="J220" s="12">
        <v>350</v>
      </c>
      <c r="K220" s="12">
        <v>1.75</v>
      </c>
      <c r="L220" s="12">
        <v>3500</v>
      </c>
      <c r="M220" s="12">
        <v>0</v>
      </c>
      <c r="N220" s="12">
        <v>0</v>
      </c>
      <c r="O220" s="12">
        <v>0</v>
      </c>
      <c r="P220" s="10">
        <v>0</v>
      </c>
      <c r="Q220" s="10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22">
        <v>0</v>
      </c>
      <c r="AH220" s="20">
        <v>0</v>
      </c>
      <c r="AI220" s="20">
        <v>0</v>
      </c>
      <c r="AJ220" s="23">
        <v>0</v>
      </c>
      <c r="AK220" s="12">
        <v>0</v>
      </c>
      <c r="AL220" s="12">
        <v>0</v>
      </c>
      <c r="AM220" s="12">
        <v>0</v>
      </c>
      <c r="AN220" s="12">
        <v>54</v>
      </c>
      <c r="AO220" s="12">
        <v>55</v>
      </c>
    </row>
    <row r="221" spans="1:41" ht="15" x14ac:dyDescent="0.25">
      <c r="A221" s="13" t="s">
        <v>46</v>
      </c>
      <c r="B221" s="10">
        <v>450</v>
      </c>
      <c r="C221" s="10">
        <v>3888</v>
      </c>
      <c r="D221" s="10">
        <v>0</v>
      </c>
      <c r="E221" s="10">
        <v>0</v>
      </c>
      <c r="F221" s="10">
        <v>1714</v>
      </c>
      <c r="G221" s="10">
        <v>1512</v>
      </c>
      <c r="H221" s="2">
        <v>0</v>
      </c>
      <c r="I221" s="10">
        <v>0</v>
      </c>
      <c r="J221" s="10">
        <v>600</v>
      </c>
      <c r="K221" s="10">
        <v>3</v>
      </c>
      <c r="L221" s="10">
        <v>6000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24">
        <v>0</v>
      </c>
      <c r="AI221" s="24">
        <v>0</v>
      </c>
      <c r="AJ221" s="10">
        <v>0</v>
      </c>
      <c r="AK221" s="10">
        <v>0</v>
      </c>
      <c r="AL221" s="10">
        <v>0</v>
      </c>
      <c r="AM221" s="10">
        <v>550</v>
      </c>
      <c r="AN221" s="10">
        <v>45</v>
      </c>
      <c r="AO221" s="15">
        <v>11</v>
      </c>
    </row>
    <row r="222" spans="1:41" ht="15" x14ac:dyDescent="0.25">
      <c r="A222" s="13" t="s">
        <v>47</v>
      </c>
      <c r="B222" s="10">
        <v>5685</v>
      </c>
      <c r="C222" s="10">
        <v>3888</v>
      </c>
      <c r="D222" s="10">
        <v>0</v>
      </c>
      <c r="E222" s="10">
        <v>0</v>
      </c>
      <c r="F222" s="10">
        <v>2045</v>
      </c>
      <c r="G222" s="10">
        <v>1512</v>
      </c>
      <c r="H222" s="2">
        <v>0</v>
      </c>
      <c r="I222" s="10">
        <v>0</v>
      </c>
      <c r="J222" s="10">
        <v>600</v>
      </c>
      <c r="K222" s="10">
        <v>3</v>
      </c>
      <c r="L222" s="10">
        <v>6025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24">
        <v>0</v>
      </c>
      <c r="AI222" s="24">
        <v>0</v>
      </c>
      <c r="AJ222" s="10">
        <v>0</v>
      </c>
      <c r="AK222" s="10">
        <v>0</v>
      </c>
      <c r="AL222" s="10">
        <v>0</v>
      </c>
      <c r="AM222" s="10">
        <v>910</v>
      </c>
      <c r="AN222" s="10">
        <v>158</v>
      </c>
      <c r="AO222" s="15">
        <v>40</v>
      </c>
    </row>
    <row r="223" spans="1:41" ht="15" x14ac:dyDescent="0.25">
      <c r="A223" s="14" t="s">
        <v>24</v>
      </c>
      <c r="B223" s="10">
        <f t="shared" ref="B223:K223" si="45">SUM(B218+B219-B220-B221-B222)</f>
        <v>168206</v>
      </c>
      <c r="C223" s="10">
        <f t="shared" si="45"/>
        <v>4274</v>
      </c>
      <c r="D223" s="10">
        <f t="shared" si="45"/>
        <v>60000</v>
      </c>
      <c r="E223" s="10">
        <f t="shared" si="45"/>
        <v>638</v>
      </c>
      <c r="F223" s="10">
        <f t="shared" si="45"/>
        <v>20091</v>
      </c>
      <c r="G223" s="10">
        <f t="shared" si="45"/>
        <v>754</v>
      </c>
      <c r="H223" s="2">
        <f t="shared" si="45"/>
        <v>0</v>
      </c>
      <c r="I223" s="10">
        <f t="shared" si="45"/>
        <v>410</v>
      </c>
      <c r="J223" s="10">
        <f t="shared" si="45"/>
        <v>10800</v>
      </c>
      <c r="K223" s="10">
        <f t="shared" si="45"/>
        <v>90.849000000000004</v>
      </c>
      <c r="L223" s="10">
        <f>SUM(L218+L219+L220+L221+L222)</f>
        <v>92525</v>
      </c>
      <c r="M223" s="10">
        <f>SUM(M218+M219+M220+M221+M222)</f>
        <v>171</v>
      </c>
      <c r="N223" s="10">
        <f>SUM(N218+N219-N220-N221-N222)</f>
        <v>0</v>
      </c>
      <c r="O223" s="10">
        <f>SUM(O218+O219-O220-O221-O222)</f>
        <v>87</v>
      </c>
      <c r="P223" s="10">
        <f>SUM(P218+P219+P220+P222)</f>
        <v>49288</v>
      </c>
      <c r="Q223" s="10">
        <f>SUM(Q218-Q219+Q220+Q221+Q222)</f>
        <v>4107</v>
      </c>
      <c r="R223" s="10">
        <f>SUM(R218-R219+R220+R221+R222)</f>
        <v>152</v>
      </c>
      <c r="S223" s="10">
        <f>SUM(S218-S219+S220+S221+S222)</f>
        <v>816</v>
      </c>
      <c r="T223" s="10">
        <f>SUM(T218+T219+T220+T221+T222)</f>
        <v>51</v>
      </c>
      <c r="U223" s="10">
        <f>SUM(U218+U219-U220-U221-U222)</f>
        <v>0</v>
      </c>
      <c r="V223" s="10">
        <f>SUM(V218+V219-V220-V221-V222)</f>
        <v>32</v>
      </c>
      <c r="W223" s="10">
        <f>SUM(W218+W219-W220-W221-W222)</f>
        <v>0</v>
      </c>
      <c r="X223" s="10">
        <f>SUM(X218+X219-X220-X221-X222)</f>
        <v>75</v>
      </c>
      <c r="Y223" s="10">
        <f>SUM(Y218+Y219+Y220+Y221+Y222)</f>
        <v>49037</v>
      </c>
      <c r="Z223" s="10">
        <f>SUM(Z218+Z219+Z220+Z221+Z222)</f>
        <v>4086</v>
      </c>
      <c r="AA223" s="10">
        <f>SUM(AA218+AA219+AA220+AA221+AA222)</f>
        <v>27</v>
      </c>
      <c r="AB223" s="10">
        <f>SUM(AB218-AB219+AB220+AB221+AB222)</f>
        <v>907</v>
      </c>
      <c r="AC223" s="10">
        <f t="shared" ref="AC223:AL223" si="46">SUM(AC218+AC219-AC220-AC221-AC222)</f>
        <v>51</v>
      </c>
      <c r="AD223" s="10">
        <f t="shared" si="46"/>
        <v>92500</v>
      </c>
      <c r="AE223" s="10">
        <f t="shared" si="46"/>
        <v>129</v>
      </c>
      <c r="AF223" s="10">
        <f t="shared" si="46"/>
        <v>0</v>
      </c>
      <c r="AG223" s="10">
        <f t="shared" si="46"/>
        <v>0</v>
      </c>
      <c r="AH223" s="10">
        <f t="shared" si="46"/>
        <v>48</v>
      </c>
      <c r="AI223" s="10">
        <f t="shared" si="46"/>
        <v>4</v>
      </c>
      <c r="AJ223" s="10">
        <f t="shared" si="46"/>
        <v>0</v>
      </c>
      <c r="AK223" s="10">
        <f t="shared" si="46"/>
        <v>0</v>
      </c>
      <c r="AL223" s="10">
        <f t="shared" si="46"/>
        <v>24</v>
      </c>
      <c r="AM223" s="10">
        <f>SUM(AM218-AM219+AM220+AM221+AM222)</f>
        <v>3852</v>
      </c>
      <c r="AN223" s="10">
        <f>SUM(AN218-AN219+AN220+AN221+AN222)</f>
        <v>771</v>
      </c>
      <c r="AO223" s="10">
        <f>SUM(AO218-AO219+AO220+AO221+AO222)</f>
        <v>356</v>
      </c>
    </row>
    <row r="226" spans="1:41" ht="18.75" x14ac:dyDescent="0.3">
      <c r="A226" s="16">
        <v>45757</v>
      </c>
      <c r="B226" s="27" t="s">
        <v>26</v>
      </c>
      <c r="C226" s="27"/>
      <c r="D226" s="27"/>
      <c r="E226" s="27"/>
      <c r="F226" s="27"/>
      <c r="G226" s="27"/>
      <c r="H226" s="27"/>
      <c r="I226" s="27"/>
      <c r="J226" s="27"/>
      <c r="K226" s="27"/>
      <c r="L226" s="27" t="s">
        <v>29</v>
      </c>
      <c r="M226" s="27"/>
      <c r="N226" s="27"/>
      <c r="O226" s="27"/>
      <c r="P226" s="27"/>
      <c r="Q226" s="27"/>
      <c r="R226" s="27"/>
      <c r="S226" s="27"/>
      <c r="T226" s="27"/>
      <c r="U226" s="27" t="s">
        <v>28</v>
      </c>
      <c r="V226" s="27"/>
      <c r="W226" s="27"/>
      <c r="X226" s="27"/>
      <c r="Y226" s="27"/>
      <c r="Z226" s="27"/>
      <c r="AA226" s="27"/>
      <c r="AB226" s="27"/>
      <c r="AC226" s="27"/>
      <c r="AD226" s="27" t="s">
        <v>27</v>
      </c>
      <c r="AE226" s="27"/>
      <c r="AF226" s="27"/>
      <c r="AG226" s="27"/>
      <c r="AH226" s="27"/>
      <c r="AI226" s="27"/>
      <c r="AJ226" s="27"/>
      <c r="AK226" s="27"/>
      <c r="AL226" s="27"/>
      <c r="AM226" s="27" t="s">
        <v>25</v>
      </c>
      <c r="AN226" s="27"/>
      <c r="AO226" s="27"/>
    </row>
    <row r="227" spans="1:41" ht="15" x14ac:dyDescent="0.25">
      <c r="A227" s="5" t="s">
        <v>74</v>
      </c>
      <c r="B227" s="1" t="s">
        <v>0</v>
      </c>
      <c r="C227" s="1" t="s">
        <v>1</v>
      </c>
      <c r="D227" s="1" t="s">
        <v>2</v>
      </c>
      <c r="E227" s="1" t="s">
        <v>3</v>
      </c>
      <c r="F227" s="1" t="s">
        <v>4</v>
      </c>
      <c r="G227" s="1" t="s">
        <v>5</v>
      </c>
      <c r="H227" s="1" t="s">
        <v>33</v>
      </c>
      <c r="I227" s="1" t="s">
        <v>6</v>
      </c>
      <c r="J227" s="1" t="s">
        <v>7</v>
      </c>
      <c r="K227" s="1" t="s">
        <v>8</v>
      </c>
      <c r="L227" s="1" t="s">
        <v>9</v>
      </c>
      <c r="M227" s="1" t="s">
        <v>30</v>
      </c>
      <c r="N227" s="1" t="s">
        <v>10</v>
      </c>
      <c r="O227" s="1" t="s">
        <v>11</v>
      </c>
      <c r="P227" s="1" t="s">
        <v>32</v>
      </c>
      <c r="Q227" s="1" t="s">
        <v>37</v>
      </c>
      <c r="R227" s="1" t="s">
        <v>31</v>
      </c>
      <c r="S227" s="6" t="s">
        <v>12</v>
      </c>
      <c r="T227" s="6" t="s">
        <v>13</v>
      </c>
      <c r="U227" s="6" t="s">
        <v>14</v>
      </c>
      <c r="V227" s="1" t="s">
        <v>30</v>
      </c>
      <c r="W227" s="6" t="s">
        <v>10</v>
      </c>
      <c r="X227" s="6" t="s">
        <v>15</v>
      </c>
      <c r="Y227" s="1" t="s">
        <v>32</v>
      </c>
      <c r="Z227" s="1" t="s">
        <v>37</v>
      </c>
      <c r="AA227" s="1" t="s">
        <v>31</v>
      </c>
      <c r="AB227" s="1" t="s">
        <v>12</v>
      </c>
      <c r="AC227" s="1" t="s">
        <v>13</v>
      </c>
      <c r="AD227" s="1" t="s">
        <v>9</v>
      </c>
      <c r="AE227" s="1" t="s">
        <v>30</v>
      </c>
      <c r="AF227" s="1" t="s">
        <v>10</v>
      </c>
      <c r="AG227" s="1" t="s">
        <v>11</v>
      </c>
      <c r="AH227" s="18" t="s">
        <v>32</v>
      </c>
      <c r="AI227" s="18" t="s">
        <v>37</v>
      </c>
      <c r="AJ227" s="1" t="s">
        <v>44</v>
      </c>
      <c r="AK227" s="7" t="s">
        <v>16</v>
      </c>
      <c r="AL227" s="8" t="s">
        <v>13</v>
      </c>
      <c r="AM227" s="1" t="s">
        <v>17</v>
      </c>
      <c r="AN227" s="8" t="s">
        <v>57</v>
      </c>
      <c r="AO227" s="8" t="s">
        <v>19</v>
      </c>
    </row>
    <row r="228" spans="1:41" ht="15" x14ac:dyDescent="0.25">
      <c r="A228" s="9" t="s">
        <v>20</v>
      </c>
      <c r="B228" s="10">
        <v>168206</v>
      </c>
      <c r="C228" s="10">
        <v>4274</v>
      </c>
      <c r="D228" s="10">
        <v>60000</v>
      </c>
      <c r="E228" s="10">
        <v>638</v>
      </c>
      <c r="F228" s="10">
        <v>20091</v>
      </c>
      <c r="G228" s="10">
        <v>754</v>
      </c>
      <c r="H228" s="3">
        <v>0</v>
      </c>
      <c r="I228" s="25">
        <v>410</v>
      </c>
      <c r="J228" s="10">
        <v>10800</v>
      </c>
      <c r="K228" s="10">
        <v>90.849000000000004</v>
      </c>
      <c r="L228" s="10">
        <v>92525</v>
      </c>
      <c r="M228" s="10">
        <v>171</v>
      </c>
      <c r="N228" s="10">
        <v>0</v>
      </c>
      <c r="O228" s="10">
        <v>87</v>
      </c>
      <c r="P228" s="10">
        <v>49288</v>
      </c>
      <c r="Q228" s="10">
        <v>4107</v>
      </c>
      <c r="R228" s="10">
        <v>152</v>
      </c>
      <c r="S228" s="10">
        <v>816</v>
      </c>
      <c r="T228" s="10">
        <v>51</v>
      </c>
      <c r="U228" s="10">
        <v>0</v>
      </c>
      <c r="V228" s="10">
        <v>32</v>
      </c>
      <c r="W228" s="10">
        <v>0</v>
      </c>
      <c r="X228" s="10">
        <v>75</v>
      </c>
      <c r="Y228" s="10">
        <v>49037</v>
      </c>
      <c r="Z228" s="10">
        <v>4086</v>
      </c>
      <c r="AA228" s="10">
        <v>27</v>
      </c>
      <c r="AB228" s="10">
        <v>907</v>
      </c>
      <c r="AC228" s="10">
        <v>51</v>
      </c>
      <c r="AD228" s="10">
        <v>92500</v>
      </c>
      <c r="AE228" s="10">
        <v>129</v>
      </c>
      <c r="AF228" s="10">
        <v>0</v>
      </c>
      <c r="AG228" s="19">
        <v>0</v>
      </c>
      <c r="AH228" s="20">
        <v>48</v>
      </c>
      <c r="AI228" s="20">
        <v>4</v>
      </c>
      <c r="AJ228" s="21">
        <v>0</v>
      </c>
      <c r="AK228" s="10">
        <v>0</v>
      </c>
      <c r="AL228" s="10">
        <v>24</v>
      </c>
      <c r="AM228" s="10">
        <v>3852</v>
      </c>
      <c r="AN228" s="10">
        <v>771</v>
      </c>
      <c r="AO228" s="10">
        <v>356</v>
      </c>
    </row>
    <row r="229" spans="1:41" ht="15" x14ac:dyDescent="0.25">
      <c r="A229" s="9" t="s">
        <v>21</v>
      </c>
      <c r="B229" s="10">
        <v>0</v>
      </c>
      <c r="C229" s="10">
        <f>SUM(4879+6133+3088-1120-117-1259-90-863-64)</f>
        <v>10587</v>
      </c>
      <c r="D229" s="10">
        <v>0</v>
      </c>
      <c r="E229" s="10">
        <v>0</v>
      </c>
      <c r="F229" s="10">
        <v>0</v>
      </c>
      <c r="G229" s="10">
        <f>SUM(1512+802+1048-16)</f>
        <v>3346</v>
      </c>
      <c r="H229" s="2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f>SUM(6000+6000+4050)</f>
        <v>16050</v>
      </c>
      <c r="AE229" s="10">
        <v>0</v>
      </c>
      <c r="AF229" s="10">
        <v>0</v>
      </c>
      <c r="AG229" s="19">
        <v>0</v>
      </c>
      <c r="AH229" s="20">
        <v>0</v>
      </c>
      <c r="AI229" s="20">
        <v>0</v>
      </c>
      <c r="AJ229" s="21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</row>
    <row r="230" spans="1:41" ht="15" x14ac:dyDescent="0.25">
      <c r="A230" s="11" t="s">
        <v>22</v>
      </c>
      <c r="B230" s="12">
        <v>4879</v>
      </c>
      <c r="C230" s="17">
        <v>3888</v>
      </c>
      <c r="D230" s="12">
        <v>0</v>
      </c>
      <c r="E230" s="12">
        <v>0</v>
      </c>
      <c r="F230" s="12">
        <v>1512</v>
      </c>
      <c r="G230" s="12">
        <v>1512</v>
      </c>
      <c r="H230" s="4">
        <v>0</v>
      </c>
      <c r="I230" s="12">
        <v>0</v>
      </c>
      <c r="J230" s="12">
        <v>600</v>
      </c>
      <c r="K230" s="12">
        <v>3</v>
      </c>
      <c r="L230" s="12">
        <v>6000</v>
      </c>
      <c r="M230" s="12">
        <v>0</v>
      </c>
      <c r="N230" s="12">
        <v>0</v>
      </c>
      <c r="O230" s="12">
        <v>0</v>
      </c>
      <c r="P230" s="10">
        <v>0</v>
      </c>
      <c r="Q230" s="10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48</v>
      </c>
      <c r="Z230" s="12">
        <v>4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22">
        <v>0</v>
      </c>
      <c r="AH230" s="20">
        <v>48</v>
      </c>
      <c r="AI230" s="20">
        <v>4</v>
      </c>
      <c r="AJ230" s="23">
        <v>0</v>
      </c>
      <c r="AK230" s="12">
        <v>0</v>
      </c>
      <c r="AL230" s="12">
        <v>0</v>
      </c>
      <c r="AM230" s="12">
        <v>1120</v>
      </c>
      <c r="AN230" s="12">
        <v>121</v>
      </c>
      <c r="AO230" s="12">
        <v>20</v>
      </c>
    </row>
    <row r="231" spans="1:41" ht="15" x14ac:dyDescent="0.25">
      <c r="A231" s="13" t="s">
        <v>46</v>
      </c>
      <c r="B231" s="10">
        <v>6133</v>
      </c>
      <c r="C231" s="10">
        <v>3888</v>
      </c>
      <c r="D231" s="10">
        <v>0</v>
      </c>
      <c r="E231" s="10">
        <v>0</v>
      </c>
      <c r="F231" s="10">
        <v>802</v>
      </c>
      <c r="G231" s="10">
        <v>1512</v>
      </c>
      <c r="H231" s="2">
        <v>0</v>
      </c>
      <c r="I231" s="10">
        <v>0</v>
      </c>
      <c r="J231" s="10">
        <v>600</v>
      </c>
      <c r="K231" s="10">
        <v>3</v>
      </c>
      <c r="L231" s="10">
        <v>6000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24">
        <v>0</v>
      </c>
      <c r="AI231" s="24">
        <v>0</v>
      </c>
      <c r="AJ231" s="10">
        <v>0</v>
      </c>
      <c r="AK231" s="10">
        <v>0</v>
      </c>
      <c r="AL231" s="10">
        <v>0</v>
      </c>
      <c r="AM231" s="10">
        <v>1250</v>
      </c>
      <c r="AN231" s="10">
        <v>96</v>
      </c>
      <c r="AO231" s="15">
        <v>13</v>
      </c>
    </row>
    <row r="232" spans="1:41" ht="15" x14ac:dyDescent="0.25">
      <c r="A232" s="13" t="s">
        <v>47</v>
      </c>
      <c r="B232" s="10">
        <v>3088</v>
      </c>
      <c r="C232" s="10">
        <v>2592</v>
      </c>
      <c r="D232" s="10">
        <v>0</v>
      </c>
      <c r="E232" s="10">
        <v>0</v>
      </c>
      <c r="F232" s="10">
        <v>1048</v>
      </c>
      <c r="G232" s="10">
        <v>1008</v>
      </c>
      <c r="H232" s="2">
        <v>0</v>
      </c>
      <c r="I232" s="10">
        <v>0</v>
      </c>
      <c r="J232" s="10">
        <v>400</v>
      </c>
      <c r="K232" s="10">
        <v>2</v>
      </c>
      <c r="L232" s="10">
        <v>4050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24">
        <v>0</v>
      </c>
      <c r="AI232" s="24">
        <v>0</v>
      </c>
      <c r="AJ232" s="10">
        <v>0</v>
      </c>
      <c r="AK232" s="10">
        <v>0</v>
      </c>
      <c r="AL232" s="10">
        <v>0</v>
      </c>
      <c r="AM232" s="10">
        <v>863</v>
      </c>
      <c r="AN232" s="10">
        <v>69</v>
      </c>
      <c r="AO232" s="15">
        <v>17</v>
      </c>
    </row>
    <row r="233" spans="1:41" ht="15" x14ac:dyDescent="0.25">
      <c r="A233" s="14" t="s">
        <v>24</v>
      </c>
      <c r="B233" s="10">
        <f t="shared" ref="B233:K233" si="47">SUM(B228+B229-B230-B231-B232)</f>
        <v>154106</v>
      </c>
      <c r="C233" s="10">
        <f t="shared" si="47"/>
        <v>4493</v>
      </c>
      <c r="D233" s="10">
        <f t="shared" si="47"/>
        <v>60000</v>
      </c>
      <c r="E233" s="10">
        <f t="shared" si="47"/>
        <v>638</v>
      </c>
      <c r="F233" s="10">
        <f t="shared" si="47"/>
        <v>16729</v>
      </c>
      <c r="G233" s="10">
        <f t="shared" si="47"/>
        <v>68</v>
      </c>
      <c r="H233" s="2">
        <f t="shared" si="47"/>
        <v>0</v>
      </c>
      <c r="I233" s="10">
        <f t="shared" si="47"/>
        <v>410</v>
      </c>
      <c r="J233" s="10">
        <f t="shared" si="47"/>
        <v>9200</v>
      </c>
      <c r="K233" s="10">
        <f t="shared" si="47"/>
        <v>82.849000000000004</v>
      </c>
      <c r="L233" s="10">
        <f>SUM(L228+L230+L231+L232)</f>
        <v>108575</v>
      </c>
      <c r="M233" s="10">
        <f>SUM(M228+M229+M230+M231+M232)</f>
        <v>171</v>
      </c>
      <c r="N233" s="10">
        <f>SUM(N228+N229-N230-N231-N232)</f>
        <v>0</v>
      </c>
      <c r="O233" s="10">
        <f>SUM(O228+O229-O230-O231-O232)</f>
        <v>87</v>
      </c>
      <c r="P233" s="10">
        <f>SUM(P228+P229+P230+P232)</f>
        <v>49288</v>
      </c>
      <c r="Q233" s="10">
        <f>SUM(Q228-Q229+Q230+Q231+Q232)</f>
        <v>4107</v>
      </c>
      <c r="R233" s="10">
        <f>SUM(R228-R229+R230+R231+R232)</f>
        <v>152</v>
      </c>
      <c r="S233" s="10">
        <f>SUM(S228-S229+S230+S231+S232)</f>
        <v>816</v>
      </c>
      <c r="T233" s="10">
        <f>SUM(T228+T229+T230+T231+T232)</f>
        <v>51</v>
      </c>
      <c r="U233" s="10">
        <f>SUM(U228+U229-U230-U231-U232)</f>
        <v>0</v>
      </c>
      <c r="V233" s="10">
        <f>SUM(V228+V229-V230-V231-V232)</f>
        <v>32</v>
      </c>
      <c r="W233" s="10">
        <f>SUM(W228+W229-W230-W231-W232)</f>
        <v>0</v>
      </c>
      <c r="X233" s="10">
        <f>SUM(X228+X229-X230-X231-X232)</f>
        <v>75</v>
      </c>
      <c r="Y233" s="10">
        <f>SUM(Y228+Y229+Y230+Y231+Y232)</f>
        <v>49085</v>
      </c>
      <c r="Z233" s="10">
        <f>SUM(Z228+Z229+Z230+Z231+Z232)</f>
        <v>4090</v>
      </c>
      <c r="AA233" s="10">
        <f>SUM(AA228+AA229+AA230+AA231+AA232)</f>
        <v>27</v>
      </c>
      <c r="AB233" s="10">
        <f>SUM(AB228-AB229+AB230+AB231+AB232)</f>
        <v>907</v>
      </c>
      <c r="AC233" s="10">
        <f t="shared" ref="AC233:AL233" si="48">SUM(AC228+AC229-AC230-AC231-AC232)</f>
        <v>51</v>
      </c>
      <c r="AD233" s="10">
        <f t="shared" si="48"/>
        <v>108550</v>
      </c>
      <c r="AE233" s="10">
        <f t="shared" si="48"/>
        <v>129</v>
      </c>
      <c r="AF233" s="10">
        <f t="shared" si="48"/>
        <v>0</v>
      </c>
      <c r="AG233" s="10">
        <f t="shared" si="48"/>
        <v>0</v>
      </c>
      <c r="AH233" s="10">
        <f t="shared" si="48"/>
        <v>0</v>
      </c>
      <c r="AI233" s="10">
        <f t="shared" si="48"/>
        <v>0</v>
      </c>
      <c r="AJ233" s="10">
        <f t="shared" si="48"/>
        <v>0</v>
      </c>
      <c r="AK233" s="10">
        <f t="shared" si="48"/>
        <v>0</v>
      </c>
      <c r="AL233" s="10">
        <f t="shared" si="48"/>
        <v>24</v>
      </c>
      <c r="AM233" s="10">
        <f>SUM(AM228-AM229+AM230+AM231+AM232)</f>
        <v>7085</v>
      </c>
      <c r="AN233" s="10">
        <f>SUM(AN228-AN229+AN230+AN231+AN232)</f>
        <v>1057</v>
      </c>
      <c r="AO233" s="10">
        <f>SUM(AO228-AO229+AO230+AO231+AO232)</f>
        <v>406</v>
      </c>
    </row>
    <row r="236" spans="1:41" ht="18.75" x14ac:dyDescent="0.3">
      <c r="A236" s="16">
        <v>45787</v>
      </c>
      <c r="B236" s="27" t="s">
        <v>26</v>
      </c>
      <c r="C236" s="27"/>
      <c r="D236" s="27"/>
      <c r="E236" s="27"/>
      <c r="F236" s="27"/>
      <c r="G236" s="27"/>
      <c r="H236" s="27"/>
      <c r="I236" s="27"/>
      <c r="J236" s="27"/>
      <c r="K236" s="27"/>
      <c r="L236" s="27" t="s">
        <v>29</v>
      </c>
      <c r="M236" s="27"/>
      <c r="N236" s="27"/>
      <c r="O236" s="27"/>
      <c r="P236" s="27"/>
      <c r="Q236" s="27"/>
      <c r="R236" s="27"/>
      <c r="S236" s="27"/>
      <c r="T236" s="27"/>
      <c r="U236" s="27" t="s">
        <v>28</v>
      </c>
      <c r="V236" s="27"/>
      <c r="W236" s="27"/>
      <c r="X236" s="27"/>
      <c r="Y236" s="27"/>
      <c r="Z236" s="27"/>
      <c r="AA236" s="27"/>
      <c r="AB236" s="27"/>
      <c r="AC236" s="27"/>
      <c r="AD236" s="27" t="s">
        <v>27</v>
      </c>
      <c r="AE236" s="27"/>
      <c r="AF236" s="27"/>
      <c r="AG236" s="27"/>
      <c r="AH236" s="27"/>
      <c r="AI236" s="27"/>
      <c r="AJ236" s="27"/>
      <c r="AK236" s="27"/>
      <c r="AL236" s="27"/>
      <c r="AM236" s="27" t="s">
        <v>25</v>
      </c>
      <c r="AN236" s="27"/>
      <c r="AO236" s="27"/>
    </row>
    <row r="237" spans="1:41" ht="15" x14ac:dyDescent="0.25">
      <c r="A237" s="5" t="s">
        <v>74</v>
      </c>
      <c r="B237" s="1" t="s">
        <v>0</v>
      </c>
      <c r="C237" s="1" t="s">
        <v>1</v>
      </c>
      <c r="D237" s="1" t="s">
        <v>2</v>
      </c>
      <c r="E237" s="1" t="s">
        <v>3</v>
      </c>
      <c r="F237" s="1" t="s">
        <v>4</v>
      </c>
      <c r="G237" s="1" t="s">
        <v>5</v>
      </c>
      <c r="H237" s="1" t="s">
        <v>33</v>
      </c>
      <c r="I237" s="1" t="s">
        <v>6</v>
      </c>
      <c r="J237" s="1" t="s">
        <v>7</v>
      </c>
      <c r="K237" s="1" t="s">
        <v>8</v>
      </c>
      <c r="L237" s="1" t="s">
        <v>9</v>
      </c>
      <c r="M237" s="1" t="s">
        <v>30</v>
      </c>
      <c r="N237" s="1" t="s">
        <v>10</v>
      </c>
      <c r="O237" s="1" t="s">
        <v>11</v>
      </c>
      <c r="P237" s="1" t="s">
        <v>32</v>
      </c>
      <c r="Q237" s="1" t="s">
        <v>37</v>
      </c>
      <c r="R237" s="1" t="s">
        <v>31</v>
      </c>
      <c r="S237" s="6" t="s">
        <v>12</v>
      </c>
      <c r="T237" s="6" t="s">
        <v>13</v>
      </c>
      <c r="U237" s="6" t="s">
        <v>14</v>
      </c>
      <c r="V237" s="1" t="s">
        <v>30</v>
      </c>
      <c r="W237" s="6" t="s">
        <v>10</v>
      </c>
      <c r="X237" s="6" t="s">
        <v>15</v>
      </c>
      <c r="Y237" s="1" t="s">
        <v>32</v>
      </c>
      <c r="Z237" s="1" t="s">
        <v>37</v>
      </c>
      <c r="AA237" s="1" t="s">
        <v>31</v>
      </c>
      <c r="AB237" s="1" t="s">
        <v>12</v>
      </c>
      <c r="AC237" s="1" t="s">
        <v>13</v>
      </c>
      <c r="AD237" s="1" t="s">
        <v>9</v>
      </c>
      <c r="AE237" s="1" t="s">
        <v>30</v>
      </c>
      <c r="AF237" s="1" t="s">
        <v>10</v>
      </c>
      <c r="AG237" s="1" t="s">
        <v>11</v>
      </c>
      <c r="AH237" s="18" t="s">
        <v>32</v>
      </c>
      <c r="AI237" s="18" t="s">
        <v>37</v>
      </c>
      <c r="AJ237" s="1" t="s">
        <v>44</v>
      </c>
      <c r="AK237" s="7" t="s">
        <v>16</v>
      </c>
      <c r="AL237" s="8" t="s">
        <v>13</v>
      </c>
      <c r="AM237" s="1" t="s">
        <v>17</v>
      </c>
      <c r="AN237" s="8" t="s">
        <v>57</v>
      </c>
      <c r="AO237" s="8" t="s">
        <v>19</v>
      </c>
    </row>
    <row r="238" spans="1:41" ht="15" x14ac:dyDescent="0.25">
      <c r="A238" s="9" t="s">
        <v>20</v>
      </c>
      <c r="B238" s="10">
        <v>154106</v>
      </c>
      <c r="C238" s="10">
        <v>4493</v>
      </c>
      <c r="D238" s="10">
        <v>60000</v>
      </c>
      <c r="E238" s="10">
        <v>638</v>
      </c>
      <c r="F238" s="10">
        <v>16729</v>
      </c>
      <c r="G238" s="10">
        <v>68</v>
      </c>
      <c r="H238" s="3">
        <v>0</v>
      </c>
      <c r="I238" s="25">
        <v>410</v>
      </c>
      <c r="J238" s="10">
        <v>9200</v>
      </c>
      <c r="K238" s="10">
        <v>82.849000000000004</v>
      </c>
      <c r="L238" s="10">
        <v>108575</v>
      </c>
      <c r="M238" s="10">
        <v>171</v>
      </c>
      <c r="N238" s="10">
        <v>0</v>
      </c>
      <c r="O238" s="10">
        <v>87</v>
      </c>
      <c r="P238" s="10">
        <v>49288</v>
      </c>
      <c r="Q238" s="10">
        <v>4107</v>
      </c>
      <c r="R238" s="10">
        <v>152</v>
      </c>
      <c r="S238" s="10">
        <v>816</v>
      </c>
      <c r="T238" s="10">
        <v>51</v>
      </c>
      <c r="U238" s="10">
        <v>0</v>
      </c>
      <c r="V238" s="10">
        <v>32</v>
      </c>
      <c r="W238" s="10">
        <v>0</v>
      </c>
      <c r="X238" s="10">
        <v>75</v>
      </c>
      <c r="Y238" s="10">
        <v>49085</v>
      </c>
      <c r="Z238" s="10">
        <v>4090</v>
      </c>
      <c r="AA238" s="10">
        <v>27</v>
      </c>
      <c r="AB238" s="10">
        <v>907</v>
      </c>
      <c r="AC238" s="10">
        <v>51</v>
      </c>
      <c r="AD238" s="10">
        <v>108550</v>
      </c>
      <c r="AE238" s="10">
        <v>129</v>
      </c>
      <c r="AF238" s="10">
        <v>0</v>
      </c>
      <c r="AG238" s="19">
        <v>0</v>
      </c>
      <c r="AH238" s="20">
        <v>0</v>
      </c>
      <c r="AI238" s="20">
        <v>0</v>
      </c>
      <c r="AJ238" s="21">
        <v>0</v>
      </c>
      <c r="AK238" s="10">
        <v>0</v>
      </c>
      <c r="AL238" s="10">
        <v>24</v>
      </c>
      <c r="AM238" s="10">
        <v>7085</v>
      </c>
      <c r="AN238" s="10">
        <v>1057</v>
      </c>
      <c r="AO238" s="10">
        <v>406</v>
      </c>
    </row>
    <row r="239" spans="1:41" ht="15" x14ac:dyDescent="0.25">
      <c r="A239" s="9" t="s">
        <v>21</v>
      </c>
      <c r="B239" s="10">
        <v>0</v>
      </c>
      <c r="C239" s="10">
        <v>0</v>
      </c>
      <c r="D239" s="10">
        <v>0</v>
      </c>
      <c r="E239" s="10">
        <v>0</v>
      </c>
      <c r="F239" s="10">
        <v>12500</v>
      </c>
      <c r="G239" s="10">
        <v>0</v>
      </c>
      <c r="H239" s="2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9">
        <v>0</v>
      </c>
      <c r="AH239" s="20">
        <v>0</v>
      </c>
      <c r="AI239" s="20">
        <v>0</v>
      </c>
      <c r="AJ239" s="21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</row>
    <row r="240" spans="1:41" ht="15" x14ac:dyDescent="0.25">
      <c r="A240" s="11" t="s">
        <v>22</v>
      </c>
      <c r="B240" s="12">
        <v>0</v>
      </c>
      <c r="C240" s="17">
        <v>0</v>
      </c>
      <c r="D240" s="12">
        <v>0</v>
      </c>
      <c r="E240" s="12">
        <v>0</v>
      </c>
      <c r="F240" s="12">
        <v>0</v>
      </c>
      <c r="G240" s="12">
        <v>0</v>
      </c>
      <c r="H240" s="4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0">
        <v>0</v>
      </c>
      <c r="Q240" s="10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22">
        <v>0</v>
      </c>
      <c r="AH240" s="20">
        <v>0</v>
      </c>
      <c r="AI240" s="20">
        <v>0</v>
      </c>
      <c r="AJ240" s="23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</row>
    <row r="241" spans="1:41" ht="15" x14ac:dyDescent="0.25">
      <c r="A241" s="13" t="s">
        <v>46</v>
      </c>
      <c r="B241" s="10">
        <v>0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2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24">
        <v>0</v>
      </c>
      <c r="AI241" s="24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5">
        <v>0</v>
      </c>
    </row>
    <row r="242" spans="1:41" ht="15" x14ac:dyDescent="0.25">
      <c r="A242" s="13" t="s">
        <v>47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2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24">
        <v>0</v>
      </c>
      <c r="AI242" s="24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5">
        <v>0</v>
      </c>
    </row>
    <row r="243" spans="1:41" ht="15" x14ac:dyDescent="0.25">
      <c r="A243" s="14" t="s">
        <v>24</v>
      </c>
      <c r="B243" s="10">
        <f t="shared" ref="B243:K243" si="49">SUM(B238+B239-B240-B241-B242)</f>
        <v>154106</v>
      </c>
      <c r="C243" s="10">
        <f t="shared" si="49"/>
        <v>4493</v>
      </c>
      <c r="D243" s="10">
        <f t="shared" si="49"/>
        <v>60000</v>
      </c>
      <c r="E243" s="10">
        <f t="shared" si="49"/>
        <v>638</v>
      </c>
      <c r="F243" s="10">
        <f t="shared" si="49"/>
        <v>29229</v>
      </c>
      <c r="G243" s="10">
        <f t="shared" si="49"/>
        <v>68</v>
      </c>
      <c r="H243" s="2">
        <f t="shared" si="49"/>
        <v>0</v>
      </c>
      <c r="I243" s="10">
        <f t="shared" si="49"/>
        <v>410</v>
      </c>
      <c r="J243" s="10">
        <f t="shared" si="49"/>
        <v>9200</v>
      </c>
      <c r="K243" s="10">
        <f t="shared" si="49"/>
        <v>82.849000000000004</v>
      </c>
      <c r="L243" s="10">
        <f>SUM(L238+L240+L241+L242)</f>
        <v>108575</v>
      </c>
      <c r="M243" s="10">
        <f>SUM(M238+M239+M240+M241+M242)</f>
        <v>171</v>
      </c>
      <c r="N243" s="10">
        <f>SUM(N238+N239-N240-N241-N242)</f>
        <v>0</v>
      </c>
      <c r="O243" s="10">
        <f>SUM(O238+O239-O240-O241-O242)</f>
        <v>87</v>
      </c>
      <c r="P243" s="10">
        <f>SUM(P238+P239+P240+P242)</f>
        <v>49288</v>
      </c>
      <c r="Q243" s="10">
        <f>SUM(Q238-Q239+Q240+Q241+Q242)</f>
        <v>4107</v>
      </c>
      <c r="R243" s="10">
        <f>SUM(R238-R239+R240+R241+R242)</f>
        <v>152</v>
      </c>
      <c r="S243" s="10">
        <f>SUM(S238-S239+S240+S241+S242)</f>
        <v>816</v>
      </c>
      <c r="T243" s="10">
        <f>SUM(T238+T239+T240+T241+T242)</f>
        <v>51</v>
      </c>
      <c r="U243" s="10">
        <f>SUM(U238+U239-U240-U241-U242)</f>
        <v>0</v>
      </c>
      <c r="V243" s="10">
        <f>SUM(V238+V239-V240-V241-V242)</f>
        <v>32</v>
      </c>
      <c r="W243" s="10">
        <f>SUM(W238+W239-W240-W241-W242)</f>
        <v>0</v>
      </c>
      <c r="X243" s="10">
        <f>SUM(X238+X239-X240-X241-X242)</f>
        <v>75</v>
      </c>
      <c r="Y243" s="10">
        <f>SUM(Y238+Y239+Y240+Y241+Y242)</f>
        <v>49085</v>
      </c>
      <c r="Z243" s="10">
        <f>SUM(Z238+Z239+Z240+Z241+Z242)</f>
        <v>4090</v>
      </c>
      <c r="AA243" s="10">
        <f>SUM(AA238+AA239+AA240+AA241+AA242)</f>
        <v>27</v>
      </c>
      <c r="AB243" s="10">
        <f>SUM(AB238-AB239+AB240+AB241+AB242)</f>
        <v>907</v>
      </c>
      <c r="AC243" s="10">
        <f t="shared" ref="AC243:AL243" si="50">SUM(AC238+AC239-AC240-AC241-AC242)</f>
        <v>51</v>
      </c>
      <c r="AD243" s="10">
        <f t="shared" si="50"/>
        <v>108550</v>
      </c>
      <c r="AE243" s="10">
        <f t="shared" si="50"/>
        <v>129</v>
      </c>
      <c r="AF243" s="10">
        <f t="shared" si="50"/>
        <v>0</v>
      </c>
      <c r="AG243" s="10">
        <f t="shared" si="50"/>
        <v>0</v>
      </c>
      <c r="AH243" s="10">
        <f t="shared" si="50"/>
        <v>0</v>
      </c>
      <c r="AI243" s="10">
        <f t="shared" si="50"/>
        <v>0</v>
      </c>
      <c r="AJ243" s="10">
        <f t="shared" si="50"/>
        <v>0</v>
      </c>
      <c r="AK243" s="10">
        <f t="shared" si="50"/>
        <v>0</v>
      </c>
      <c r="AL243" s="10">
        <f t="shared" si="50"/>
        <v>24</v>
      </c>
      <c r="AM243" s="10">
        <f>SUM(AM238-AM239+AM240+AM241+AM242)</f>
        <v>7085</v>
      </c>
      <c r="AN243" s="10">
        <f>SUM(AN238-AN239+AN240+AN241+AN242)</f>
        <v>1057</v>
      </c>
      <c r="AO243" s="10">
        <f>SUM(AO238-AO239+AO240+AO241+AO242)</f>
        <v>406</v>
      </c>
    </row>
    <row r="246" spans="1:41" ht="18.75" x14ac:dyDescent="0.3">
      <c r="A246" s="16">
        <v>45818</v>
      </c>
      <c r="B246" s="27" t="s">
        <v>26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 t="s">
        <v>29</v>
      </c>
      <c r="M246" s="27"/>
      <c r="N246" s="27"/>
      <c r="O246" s="27"/>
      <c r="P246" s="27"/>
      <c r="Q246" s="27"/>
      <c r="R246" s="27"/>
      <c r="S246" s="27"/>
      <c r="T246" s="27"/>
      <c r="U246" s="27" t="s">
        <v>28</v>
      </c>
      <c r="V246" s="27"/>
      <c r="W246" s="27"/>
      <c r="X246" s="27"/>
      <c r="Y246" s="27"/>
      <c r="Z246" s="27"/>
      <c r="AA246" s="27"/>
      <c r="AB246" s="27"/>
      <c r="AC246" s="27"/>
      <c r="AD246" s="27" t="s">
        <v>27</v>
      </c>
      <c r="AE246" s="27"/>
      <c r="AF246" s="27"/>
      <c r="AG246" s="27"/>
      <c r="AH246" s="27"/>
      <c r="AI246" s="27"/>
      <c r="AJ246" s="27"/>
      <c r="AK246" s="27"/>
      <c r="AL246" s="27"/>
      <c r="AM246" s="27" t="s">
        <v>25</v>
      </c>
      <c r="AN246" s="27"/>
      <c r="AO246" s="27"/>
    </row>
    <row r="247" spans="1:41" ht="15" x14ac:dyDescent="0.25">
      <c r="A247" s="5" t="s">
        <v>74</v>
      </c>
      <c r="B247" s="1" t="s">
        <v>0</v>
      </c>
      <c r="C247" s="1" t="s">
        <v>1</v>
      </c>
      <c r="D247" s="1" t="s">
        <v>2</v>
      </c>
      <c r="E247" s="1" t="s">
        <v>3</v>
      </c>
      <c r="F247" s="1" t="s">
        <v>4</v>
      </c>
      <c r="G247" s="1" t="s">
        <v>5</v>
      </c>
      <c r="H247" s="1" t="s">
        <v>33</v>
      </c>
      <c r="I247" s="1" t="s">
        <v>6</v>
      </c>
      <c r="J247" s="1" t="s">
        <v>7</v>
      </c>
      <c r="K247" s="1" t="s">
        <v>8</v>
      </c>
      <c r="L247" s="1" t="s">
        <v>9</v>
      </c>
      <c r="M247" s="1" t="s">
        <v>30</v>
      </c>
      <c r="N247" s="1" t="s">
        <v>10</v>
      </c>
      <c r="O247" s="1" t="s">
        <v>11</v>
      </c>
      <c r="P247" s="1" t="s">
        <v>32</v>
      </c>
      <c r="Q247" s="1" t="s">
        <v>37</v>
      </c>
      <c r="R247" s="1" t="s">
        <v>31</v>
      </c>
      <c r="S247" s="6" t="s">
        <v>12</v>
      </c>
      <c r="T247" s="6" t="s">
        <v>13</v>
      </c>
      <c r="U247" s="6" t="s">
        <v>14</v>
      </c>
      <c r="V247" s="1" t="s">
        <v>30</v>
      </c>
      <c r="W247" s="6" t="s">
        <v>10</v>
      </c>
      <c r="X247" s="6" t="s">
        <v>15</v>
      </c>
      <c r="Y247" s="1" t="s">
        <v>32</v>
      </c>
      <c r="Z247" s="1" t="s">
        <v>37</v>
      </c>
      <c r="AA247" s="1" t="s">
        <v>31</v>
      </c>
      <c r="AB247" s="1" t="s">
        <v>12</v>
      </c>
      <c r="AC247" s="1" t="s">
        <v>13</v>
      </c>
      <c r="AD247" s="1" t="s">
        <v>9</v>
      </c>
      <c r="AE247" s="1" t="s">
        <v>30</v>
      </c>
      <c r="AF247" s="1" t="s">
        <v>10</v>
      </c>
      <c r="AG247" s="1" t="s">
        <v>11</v>
      </c>
      <c r="AH247" s="18" t="s">
        <v>32</v>
      </c>
      <c r="AI247" s="18" t="s">
        <v>37</v>
      </c>
      <c r="AJ247" s="1" t="s">
        <v>44</v>
      </c>
      <c r="AK247" s="7" t="s">
        <v>16</v>
      </c>
      <c r="AL247" s="8" t="s">
        <v>13</v>
      </c>
      <c r="AM247" s="1" t="s">
        <v>17</v>
      </c>
      <c r="AN247" s="8" t="s">
        <v>57</v>
      </c>
      <c r="AO247" s="8" t="s">
        <v>19</v>
      </c>
    </row>
    <row r="248" spans="1:41" ht="15" x14ac:dyDescent="0.25">
      <c r="A248" s="9" t="s">
        <v>20</v>
      </c>
      <c r="B248" s="10">
        <v>154106</v>
      </c>
      <c r="C248" s="10">
        <v>4493</v>
      </c>
      <c r="D248" s="10">
        <v>60000</v>
      </c>
      <c r="E248" s="10">
        <v>638</v>
      </c>
      <c r="F248" s="10">
        <v>29229</v>
      </c>
      <c r="G248" s="10">
        <v>68</v>
      </c>
      <c r="H248" s="3">
        <v>0</v>
      </c>
      <c r="I248" s="25">
        <v>410</v>
      </c>
      <c r="J248" s="10">
        <v>9200</v>
      </c>
      <c r="K248" s="10">
        <v>82.849000000000004</v>
      </c>
      <c r="L248" s="10">
        <v>108575</v>
      </c>
      <c r="M248" s="10">
        <v>171</v>
      </c>
      <c r="N248" s="10">
        <v>0</v>
      </c>
      <c r="O248" s="10">
        <v>87</v>
      </c>
      <c r="P248" s="10">
        <v>49288</v>
      </c>
      <c r="Q248" s="10">
        <v>4107</v>
      </c>
      <c r="R248" s="10">
        <v>152</v>
      </c>
      <c r="S248" s="10">
        <v>816</v>
      </c>
      <c r="T248" s="10">
        <v>51</v>
      </c>
      <c r="U248" s="10">
        <v>0</v>
      </c>
      <c r="V248" s="10">
        <v>32</v>
      </c>
      <c r="W248" s="10">
        <v>0</v>
      </c>
      <c r="X248" s="10">
        <v>75</v>
      </c>
      <c r="Y248" s="10">
        <v>49085</v>
      </c>
      <c r="Z248" s="10">
        <v>4090</v>
      </c>
      <c r="AA248" s="10">
        <v>27</v>
      </c>
      <c r="AB248" s="10">
        <v>907</v>
      </c>
      <c r="AC248" s="10">
        <v>51</v>
      </c>
      <c r="AD248" s="10">
        <v>108550</v>
      </c>
      <c r="AE248" s="10">
        <v>129</v>
      </c>
      <c r="AF248" s="10">
        <v>0</v>
      </c>
      <c r="AG248" s="19">
        <v>0</v>
      </c>
      <c r="AH248" s="20">
        <v>0</v>
      </c>
      <c r="AI248" s="20">
        <v>0</v>
      </c>
      <c r="AJ248" s="21">
        <v>0</v>
      </c>
      <c r="AK248" s="10">
        <v>0</v>
      </c>
      <c r="AL248" s="10">
        <v>24</v>
      </c>
      <c r="AM248" s="10">
        <v>7085</v>
      </c>
      <c r="AN248" s="10">
        <v>1057</v>
      </c>
      <c r="AO248" s="10">
        <v>406</v>
      </c>
    </row>
    <row r="249" spans="1:41" ht="15" x14ac:dyDescent="0.25">
      <c r="A249" s="9" t="s">
        <v>21</v>
      </c>
      <c r="B249" s="10">
        <v>0</v>
      </c>
      <c r="C249" s="10">
        <f>SUM(6824+6139+7235-980-96-878-163-1400-134)</f>
        <v>16547</v>
      </c>
      <c r="D249" s="10">
        <v>0</v>
      </c>
      <c r="E249" s="10">
        <v>0</v>
      </c>
      <c r="F249" s="10">
        <v>0</v>
      </c>
      <c r="G249" s="10">
        <f>SUM(2097+2714+3507-6-5)</f>
        <v>8307</v>
      </c>
      <c r="H249" s="2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f>SUM(6025+7000)</f>
        <v>13025</v>
      </c>
      <c r="AE249" s="10">
        <v>0</v>
      </c>
      <c r="AF249" s="10">
        <v>0</v>
      </c>
      <c r="AG249" s="19">
        <v>0</v>
      </c>
      <c r="AH249" s="20">
        <v>0</v>
      </c>
      <c r="AI249" s="20">
        <v>0</v>
      </c>
      <c r="AJ249" s="21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</row>
    <row r="250" spans="1:41" ht="15" x14ac:dyDescent="0.25">
      <c r="A250" s="11" t="s">
        <v>22</v>
      </c>
      <c r="B250" s="12">
        <v>6824</v>
      </c>
      <c r="C250" s="17">
        <v>3888</v>
      </c>
      <c r="D250" s="12">
        <v>0</v>
      </c>
      <c r="E250" s="12">
        <v>0</v>
      </c>
      <c r="F250" s="12">
        <v>2097</v>
      </c>
      <c r="G250" s="12">
        <v>1512</v>
      </c>
      <c r="H250" s="4">
        <v>0</v>
      </c>
      <c r="I250" s="12">
        <v>0</v>
      </c>
      <c r="J250" s="12">
        <v>600</v>
      </c>
      <c r="K250" s="12">
        <v>3</v>
      </c>
      <c r="L250" s="12">
        <v>6025</v>
      </c>
      <c r="M250" s="12">
        <v>0</v>
      </c>
      <c r="N250" s="12">
        <v>0</v>
      </c>
      <c r="O250" s="12">
        <v>0</v>
      </c>
      <c r="P250" s="10">
        <v>0</v>
      </c>
      <c r="Q250" s="10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22">
        <v>0</v>
      </c>
      <c r="AH250" s="20">
        <v>0</v>
      </c>
      <c r="AI250" s="20">
        <v>0</v>
      </c>
      <c r="AJ250" s="23">
        <v>0</v>
      </c>
      <c r="AK250" s="12">
        <v>0</v>
      </c>
      <c r="AL250" s="12">
        <v>0</v>
      </c>
      <c r="AM250" s="12">
        <v>980</v>
      </c>
      <c r="AN250" s="12">
        <v>102</v>
      </c>
      <c r="AO250" s="12">
        <v>13</v>
      </c>
    </row>
    <row r="251" spans="1:41" ht="15" x14ac:dyDescent="0.25">
      <c r="A251" s="13" t="s">
        <v>46</v>
      </c>
      <c r="B251" s="10">
        <v>6139</v>
      </c>
      <c r="C251" s="10">
        <v>4536</v>
      </c>
      <c r="D251" s="10">
        <v>0</v>
      </c>
      <c r="E251" s="10">
        <v>0</v>
      </c>
      <c r="F251" s="10">
        <v>2714</v>
      </c>
      <c r="G251" s="10">
        <v>1764</v>
      </c>
      <c r="H251" s="2">
        <v>0</v>
      </c>
      <c r="I251" s="10">
        <v>0</v>
      </c>
      <c r="J251" s="10">
        <v>700</v>
      </c>
      <c r="K251" s="10">
        <v>3.5</v>
      </c>
      <c r="L251" s="10">
        <v>7000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24">
        <v>0</v>
      </c>
      <c r="AI251" s="24">
        <v>0</v>
      </c>
      <c r="AJ251" s="10">
        <v>0</v>
      </c>
      <c r="AK251" s="10">
        <v>0</v>
      </c>
      <c r="AL251" s="10">
        <v>0</v>
      </c>
      <c r="AM251" s="10">
        <v>878</v>
      </c>
      <c r="AN251" s="10">
        <v>168</v>
      </c>
      <c r="AO251" s="15">
        <v>10</v>
      </c>
    </row>
    <row r="252" spans="1:41" ht="18" customHeight="1" x14ac:dyDescent="0.25">
      <c r="A252" s="13" t="s">
        <v>47</v>
      </c>
      <c r="B252" s="10">
        <v>7235</v>
      </c>
      <c r="C252" s="10">
        <v>0</v>
      </c>
      <c r="D252" s="10">
        <v>0</v>
      </c>
      <c r="E252" s="10">
        <v>0</v>
      </c>
      <c r="F252" s="10">
        <v>3507</v>
      </c>
      <c r="G252" s="10">
        <v>0</v>
      </c>
      <c r="H252" s="2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24">
        <v>0</v>
      </c>
      <c r="AI252" s="24">
        <v>0</v>
      </c>
      <c r="AJ252" s="10">
        <v>0</v>
      </c>
      <c r="AK252" s="10">
        <v>0</v>
      </c>
      <c r="AL252" s="10">
        <v>0</v>
      </c>
      <c r="AM252" s="10">
        <v>1400</v>
      </c>
      <c r="AN252" s="10">
        <v>134</v>
      </c>
      <c r="AO252" s="15">
        <v>0</v>
      </c>
    </row>
    <row r="253" spans="1:41" ht="15" x14ac:dyDescent="0.25">
      <c r="A253" s="14" t="s">
        <v>24</v>
      </c>
      <c r="B253" s="10">
        <f t="shared" ref="B253:K253" si="51">SUM(B248+B249-B250-B251-B252)</f>
        <v>133908</v>
      </c>
      <c r="C253" s="10">
        <f t="shared" si="51"/>
        <v>12616</v>
      </c>
      <c r="D253" s="10">
        <f t="shared" si="51"/>
        <v>60000</v>
      </c>
      <c r="E253" s="10">
        <f t="shared" si="51"/>
        <v>638</v>
      </c>
      <c r="F253" s="10">
        <f t="shared" si="51"/>
        <v>20911</v>
      </c>
      <c r="G253" s="10">
        <f t="shared" si="51"/>
        <v>5099</v>
      </c>
      <c r="H253" s="2">
        <f t="shared" si="51"/>
        <v>0</v>
      </c>
      <c r="I253" s="10">
        <f t="shared" si="51"/>
        <v>410</v>
      </c>
      <c r="J253" s="10">
        <f t="shared" si="51"/>
        <v>7900</v>
      </c>
      <c r="K253" s="10">
        <f t="shared" si="51"/>
        <v>76.349000000000004</v>
      </c>
      <c r="L253" s="10">
        <f>SUM(L248+L250+L251+L252)</f>
        <v>121600</v>
      </c>
      <c r="M253" s="10">
        <f>SUM(M248+M249+M250+M251+M252)</f>
        <v>171</v>
      </c>
      <c r="N253" s="10">
        <f>SUM(N248+N249-N250-N251-N252)</f>
        <v>0</v>
      </c>
      <c r="O253" s="10">
        <f>SUM(O248+O249-O250-O251-O252)</f>
        <v>87</v>
      </c>
      <c r="P253" s="10">
        <f>SUM(P248+P249+P250+P252)</f>
        <v>49288</v>
      </c>
      <c r="Q253" s="10">
        <f>SUM(Q248-Q249+Q250+Q251+Q252)</f>
        <v>4107</v>
      </c>
      <c r="R253" s="10">
        <f>SUM(R248-R249+R250+R251+R252)</f>
        <v>152</v>
      </c>
      <c r="S253" s="10">
        <f>SUM(S248-S249+S250+S251+S252)</f>
        <v>816</v>
      </c>
      <c r="T253" s="10">
        <f>SUM(T248+T249+T250+T251+T252)</f>
        <v>51</v>
      </c>
      <c r="U253" s="10">
        <f>SUM(U248+U249-U250-U251-U252)</f>
        <v>0</v>
      </c>
      <c r="V253" s="10">
        <f>SUM(V248+V249-V250-V251-V252)</f>
        <v>32</v>
      </c>
      <c r="W253" s="10">
        <f>SUM(W248+W249-W250-W251-W252)</f>
        <v>0</v>
      </c>
      <c r="X253" s="10">
        <f>SUM(X248+X249-X250-X251-X252)</f>
        <v>75</v>
      </c>
      <c r="Y253" s="10">
        <f>SUM(Y248+Y249+Y250+Y251+Y252)</f>
        <v>49085</v>
      </c>
      <c r="Z253" s="10">
        <f>SUM(Z248+Z249+Z250+Z251+Z252)</f>
        <v>4090</v>
      </c>
      <c r="AA253" s="10">
        <f>SUM(AA248+AA249+AA250+AA251+AA252)</f>
        <v>27</v>
      </c>
      <c r="AB253" s="10">
        <f>SUM(AB248-AB249+AB250+AB251+AB252)</f>
        <v>907</v>
      </c>
      <c r="AC253" s="10">
        <f t="shared" ref="AC253:AL253" si="52">SUM(AC248+AC249-AC250-AC251-AC252)</f>
        <v>51</v>
      </c>
      <c r="AD253" s="10">
        <f t="shared" si="52"/>
        <v>121575</v>
      </c>
      <c r="AE253" s="10">
        <f t="shared" si="52"/>
        <v>129</v>
      </c>
      <c r="AF253" s="10">
        <f t="shared" si="52"/>
        <v>0</v>
      </c>
      <c r="AG253" s="10">
        <f t="shared" si="52"/>
        <v>0</v>
      </c>
      <c r="AH253" s="10">
        <f t="shared" si="52"/>
        <v>0</v>
      </c>
      <c r="AI253" s="10">
        <f t="shared" si="52"/>
        <v>0</v>
      </c>
      <c r="AJ253" s="10">
        <f t="shared" si="52"/>
        <v>0</v>
      </c>
      <c r="AK253" s="10">
        <f t="shared" si="52"/>
        <v>0</v>
      </c>
      <c r="AL253" s="10">
        <f t="shared" si="52"/>
        <v>24</v>
      </c>
      <c r="AM253" s="10">
        <f>SUM(AM248-AM249+AM250+AM251+AM252)</f>
        <v>10343</v>
      </c>
      <c r="AN253" s="10">
        <f>SUM(AN248-AN249+AN250+AN251+AN252)</f>
        <v>1461</v>
      </c>
      <c r="AO253" s="10">
        <f>SUM(AO248-AO249+AO250+AO251+AO252)</f>
        <v>429</v>
      </c>
    </row>
    <row r="256" spans="1:41" ht="18.75" x14ac:dyDescent="0.3">
      <c r="A256" s="16">
        <v>45848</v>
      </c>
      <c r="B256" s="27" t="s">
        <v>26</v>
      </c>
      <c r="C256" s="27"/>
      <c r="D256" s="27"/>
      <c r="E256" s="27"/>
      <c r="F256" s="27"/>
      <c r="G256" s="27"/>
      <c r="H256" s="27"/>
      <c r="I256" s="27"/>
      <c r="J256" s="27"/>
      <c r="K256" s="27"/>
      <c r="L256" s="27" t="s">
        <v>29</v>
      </c>
      <c r="M256" s="27"/>
      <c r="N256" s="27"/>
      <c r="O256" s="27"/>
      <c r="P256" s="27"/>
      <c r="Q256" s="27"/>
      <c r="R256" s="27"/>
      <c r="S256" s="27"/>
      <c r="T256" s="27"/>
      <c r="U256" s="27" t="s">
        <v>28</v>
      </c>
      <c r="V256" s="27"/>
      <c r="W256" s="27"/>
      <c r="X256" s="27"/>
      <c r="Y256" s="27"/>
      <c r="Z256" s="27"/>
      <c r="AA256" s="27"/>
      <c r="AB256" s="27"/>
      <c r="AC256" s="27"/>
      <c r="AD256" s="27" t="s">
        <v>27</v>
      </c>
      <c r="AE256" s="27"/>
      <c r="AF256" s="27"/>
      <c r="AG256" s="27"/>
      <c r="AH256" s="27"/>
      <c r="AI256" s="27"/>
      <c r="AJ256" s="27"/>
      <c r="AK256" s="27"/>
      <c r="AL256" s="27"/>
      <c r="AM256" s="27" t="s">
        <v>25</v>
      </c>
      <c r="AN256" s="27"/>
      <c r="AO256" s="27"/>
    </row>
    <row r="257" spans="1:41" ht="15" x14ac:dyDescent="0.25">
      <c r="A257" s="5" t="s">
        <v>74</v>
      </c>
      <c r="B257" s="1" t="s">
        <v>0</v>
      </c>
      <c r="C257" s="1" t="s">
        <v>1</v>
      </c>
      <c r="D257" s="1" t="s">
        <v>2</v>
      </c>
      <c r="E257" s="1" t="s">
        <v>3</v>
      </c>
      <c r="F257" s="1" t="s">
        <v>4</v>
      </c>
      <c r="G257" s="1" t="s">
        <v>5</v>
      </c>
      <c r="H257" s="1" t="s">
        <v>33</v>
      </c>
      <c r="I257" s="1" t="s">
        <v>6</v>
      </c>
      <c r="J257" s="1" t="s">
        <v>7</v>
      </c>
      <c r="K257" s="1" t="s">
        <v>8</v>
      </c>
      <c r="L257" s="1" t="s">
        <v>9</v>
      </c>
      <c r="M257" s="1" t="s">
        <v>30</v>
      </c>
      <c r="N257" s="1" t="s">
        <v>10</v>
      </c>
      <c r="O257" s="1" t="s">
        <v>11</v>
      </c>
      <c r="P257" s="1" t="s">
        <v>32</v>
      </c>
      <c r="Q257" s="1" t="s">
        <v>37</v>
      </c>
      <c r="R257" s="1" t="s">
        <v>31</v>
      </c>
      <c r="S257" s="6" t="s">
        <v>12</v>
      </c>
      <c r="T257" s="6" t="s">
        <v>13</v>
      </c>
      <c r="U257" s="6" t="s">
        <v>14</v>
      </c>
      <c r="V257" s="1" t="s">
        <v>30</v>
      </c>
      <c r="W257" s="6" t="s">
        <v>10</v>
      </c>
      <c r="X257" s="6" t="s">
        <v>15</v>
      </c>
      <c r="Y257" s="1" t="s">
        <v>32</v>
      </c>
      <c r="Z257" s="1" t="s">
        <v>37</v>
      </c>
      <c r="AA257" s="1" t="s">
        <v>31</v>
      </c>
      <c r="AB257" s="1" t="s">
        <v>12</v>
      </c>
      <c r="AC257" s="1" t="s">
        <v>13</v>
      </c>
      <c r="AD257" s="1" t="s">
        <v>9</v>
      </c>
      <c r="AE257" s="1" t="s">
        <v>30</v>
      </c>
      <c r="AF257" s="1" t="s">
        <v>10</v>
      </c>
      <c r="AG257" s="1" t="s">
        <v>11</v>
      </c>
      <c r="AH257" s="18" t="s">
        <v>32</v>
      </c>
      <c r="AI257" s="18" t="s">
        <v>37</v>
      </c>
      <c r="AJ257" s="1" t="s">
        <v>44</v>
      </c>
      <c r="AK257" s="7" t="s">
        <v>16</v>
      </c>
      <c r="AL257" s="8" t="s">
        <v>13</v>
      </c>
      <c r="AM257" s="1" t="s">
        <v>17</v>
      </c>
      <c r="AN257" s="8" t="s">
        <v>57</v>
      </c>
      <c r="AO257" s="8" t="s">
        <v>19</v>
      </c>
    </row>
    <row r="258" spans="1:41" ht="15" x14ac:dyDescent="0.25">
      <c r="A258" s="9" t="s">
        <v>20</v>
      </c>
      <c r="B258" s="10">
        <v>133908</v>
      </c>
      <c r="C258" s="10">
        <v>12616</v>
      </c>
      <c r="D258" s="10">
        <v>60000</v>
      </c>
      <c r="E258" s="10">
        <v>638</v>
      </c>
      <c r="F258" s="10">
        <v>20911</v>
      </c>
      <c r="G258" s="10">
        <v>5099</v>
      </c>
      <c r="H258" s="3">
        <v>0</v>
      </c>
      <c r="I258" s="25">
        <v>410</v>
      </c>
      <c r="J258" s="10">
        <v>7900</v>
      </c>
      <c r="K258" s="10">
        <v>76.349000000000004</v>
      </c>
      <c r="L258" s="10">
        <v>121600</v>
      </c>
      <c r="M258" s="10">
        <v>171</v>
      </c>
      <c r="N258" s="10">
        <v>0</v>
      </c>
      <c r="O258" s="10">
        <v>87</v>
      </c>
      <c r="P258" s="10">
        <v>49288</v>
      </c>
      <c r="Q258" s="10">
        <v>4107</v>
      </c>
      <c r="R258" s="10">
        <v>152</v>
      </c>
      <c r="S258" s="10">
        <v>816</v>
      </c>
      <c r="T258" s="10">
        <v>51</v>
      </c>
      <c r="U258" s="10">
        <v>0</v>
      </c>
      <c r="V258" s="10">
        <v>32</v>
      </c>
      <c r="W258" s="10">
        <v>0</v>
      </c>
      <c r="X258" s="10">
        <v>75</v>
      </c>
      <c r="Y258" s="10">
        <v>49085</v>
      </c>
      <c r="Z258" s="10">
        <v>4090</v>
      </c>
      <c r="AA258" s="10">
        <v>27</v>
      </c>
      <c r="AB258" s="10">
        <v>907</v>
      </c>
      <c r="AC258" s="10">
        <v>51</v>
      </c>
      <c r="AD258" s="10">
        <v>121575</v>
      </c>
      <c r="AE258" s="10">
        <v>129</v>
      </c>
      <c r="AF258" s="10">
        <v>0</v>
      </c>
      <c r="AG258" s="19">
        <v>0</v>
      </c>
      <c r="AH258" s="20">
        <v>0</v>
      </c>
      <c r="AI258" s="20">
        <v>0</v>
      </c>
      <c r="AJ258" s="21">
        <v>0</v>
      </c>
      <c r="AK258" s="10">
        <v>0</v>
      </c>
      <c r="AL258" s="10">
        <v>24</v>
      </c>
      <c r="AM258" s="10">
        <v>10352</v>
      </c>
      <c r="AN258" s="10">
        <v>1461</v>
      </c>
      <c r="AO258" s="10">
        <v>429</v>
      </c>
    </row>
    <row r="259" spans="1:41" ht="15" x14ac:dyDescent="0.25">
      <c r="A259" s="9" t="s">
        <v>21</v>
      </c>
      <c r="B259" s="10">
        <v>0</v>
      </c>
      <c r="C259" s="10">
        <f>SUM(6114-1024-127+3887-950-130)</f>
        <v>7770</v>
      </c>
      <c r="D259" s="10">
        <v>0</v>
      </c>
      <c r="E259" s="10">
        <v>0</v>
      </c>
      <c r="F259" s="10">
        <v>30000</v>
      </c>
      <c r="G259" s="10">
        <f>480+SUM(956-21+5780-150)</f>
        <v>7045</v>
      </c>
      <c r="H259" s="2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42500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7000</v>
      </c>
      <c r="AE259" s="10">
        <v>0</v>
      </c>
      <c r="AF259" s="10">
        <v>0</v>
      </c>
      <c r="AG259" s="19">
        <v>0</v>
      </c>
      <c r="AH259" s="20">
        <v>0</v>
      </c>
      <c r="AI259" s="20">
        <v>0</v>
      </c>
      <c r="AJ259" s="21">
        <v>0</v>
      </c>
      <c r="AK259" s="10">
        <v>0</v>
      </c>
      <c r="AL259" s="10">
        <v>0</v>
      </c>
      <c r="AM259" s="10">
        <v>6430</v>
      </c>
      <c r="AN259" s="10">
        <v>0</v>
      </c>
      <c r="AO259" s="10">
        <v>0</v>
      </c>
    </row>
    <row r="260" spans="1:41" ht="15" x14ac:dyDescent="0.25">
      <c r="A260" s="11" t="s">
        <v>22</v>
      </c>
      <c r="B260" s="12">
        <v>6114</v>
      </c>
      <c r="C260" s="17">
        <v>4536</v>
      </c>
      <c r="D260" s="12">
        <v>0</v>
      </c>
      <c r="E260" s="12">
        <v>0</v>
      </c>
      <c r="F260" s="12">
        <v>500</v>
      </c>
      <c r="G260" s="12">
        <v>1768</v>
      </c>
      <c r="H260" s="4">
        <v>0</v>
      </c>
      <c r="I260" s="12">
        <v>0</v>
      </c>
      <c r="J260" s="12">
        <v>700</v>
      </c>
      <c r="K260" s="12">
        <v>3.5</v>
      </c>
      <c r="L260" s="12">
        <v>7000</v>
      </c>
      <c r="M260" s="12">
        <v>0</v>
      </c>
      <c r="N260" s="12">
        <v>0</v>
      </c>
      <c r="O260" s="12">
        <v>0</v>
      </c>
      <c r="P260" s="10">
        <v>0</v>
      </c>
      <c r="Q260" s="10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42500</v>
      </c>
      <c r="AE260" s="12">
        <v>0</v>
      </c>
      <c r="AF260" s="12">
        <v>0</v>
      </c>
      <c r="AG260" s="22">
        <v>0</v>
      </c>
      <c r="AH260" s="20">
        <v>0</v>
      </c>
      <c r="AI260" s="20">
        <v>0</v>
      </c>
      <c r="AJ260" s="23">
        <v>0</v>
      </c>
      <c r="AK260" s="12">
        <v>0</v>
      </c>
      <c r="AL260" s="12">
        <v>0</v>
      </c>
      <c r="AM260" s="12">
        <v>1024</v>
      </c>
      <c r="AN260" s="12">
        <v>127</v>
      </c>
      <c r="AO260" s="12">
        <v>13</v>
      </c>
    </row>
    <row r="261" spans="1:41" ht="15" x14ac:dyDescent="0.25">
      <c r="A261" s="13" t="s">
        <v>46</v>
      </c>
      <c r="B261" s="10">
        <v>3887</v>
      </c>
      <c r="C261" s="10">
        <v>0</v>
      </c>
      <c r="D261" s="10">
        <v>0</v>
      </c>
      <c r="E261" s="10">
        <v>0</v>
      </c>
      <c r="F261" s="10">
        <v>956</v>
      </c>
      <c r="G261" s="10">
        <v>0</v>
      </c>
      <c r="H261" s="2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24">
        <v>0</v>
      </c>
      <c r="AI261" s="24">
        <v>0</v>
      </c>
      <c r="AJ261" s="10">
        <v>0</v>
      </c>
      <c r="AK261" s="10">
        <v>0</v>
      </c>
      <c r="AL261" s="10">
        <v>0</v>
      </c>
      <c r="AM261" s="10">
        <v>950</v>
      </c>
      <c r="AN261" s="10">
        <v>151</v>
      </c>
      <c r="AO261" s="15">
        <v>0</v>
      </c>
    </row>
    <row r="262" spans="1:41" ht="15" x14ac:dyDescent="0.25">
      <c r="A262" s="13" t="s">
        <v>47</v>
      </c>
      <c r="B262" s="10">
        <v>0</v>
      </c>
      <c r="C262" s="10">
        <v>0</v>
      </c>
      <c r="D262" s="10">
        <v>0</v>
      </c>
      <c r="E262" s="10">
        <v>0</v>
      </c>
      <c r="F262" s="10">
        <v>5780</v>
      </c>
      <c r="G262" s="10">
        <v>0</v>
      </c>
      <c r="H262" s="2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24">
        <v>0</v>
      </c>
      <c r="AI262" s="24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150</v>
      </c>
      <c r="AO262" s="15">
        <v>0</v>
      </c>
    </row>
    <row r="263" spans="1:41" ht="15" x14ac:dyDescent="0.25">
      <c r="A263" s="14" t="s">
        <v>24</v>
      </c>
      <c r="B263" s="10">
        <f t="shared" ref="B263:K263" si="53">SUM(B258+B259-B260-B261-B262)</f>
        <v>123907</v>
      </c>
      <c r="C263" s="10">
        <f t="shared" si="53"/>
        <v>15850</v>
      </c>
      <c r="D263" s="10">
        <f t="shared" si="53"/>
        <v>60000</v>
      </c>
      <c r="E263" s="10">
        <f t="shared" si="53"/>
        <v>638</v>
      </c>
      <c r="F263" s="10">
        <f t="shared" si="53"/>
        <v>43675</v>
      </c>
      <c r="G263" s="10">
        <f t="shared" si="53"/>
        <v>10376</v>
      </c>
      <c r="H263" s="2">
        <f t="shared" si="53"/>
        <v>0</v>
      </c>
      <c r="I263" s="10">
        <f t="shared" si="53"/>
        <v>410</v>
      </c>
      <c r="J263" s="10">
        <f t="shared" si="53"/>
        <v>7200</v>
      </c>
      <c r="K263" s="10">
        <f t="shared" si="53"/>
        <v>72.849000000000004</v>
      </c>
      <c r="L263" s="10">
        <f>SUM(L258+L260+L261+L262)</f>
        <v>128600</v>
      </c>
      <c r="M263" s="10">
        <f>SUM(M258+M259+M260+M261+M262)</f>
        <v>171</v>
      </c>
      <c r="N263" s="10">
        <f>SUM(N258+N259-N260-N261-N262)</f>
        <v>0</v>
      </c>
      <c r="O263" s="10">
        <f>SUM(O258+O259-O260-O261-O262)</f>
        <v>87</v>
      </c>
      <c r="P263" s="10">
        <f>SUM(P258+P259+P260+P262)</f>
        <v>49288</v>
      </c>
      <c r="Q263" s="10">
        <f>SUM(Q258-Q259+Q260+Q261+Q262)</f>
        <v>4107</v>
      </c>
      <c r="R263" s="10">
        <f>SUM(R258-R259+R260+R261+R262)</f>
        <v>152</v>
      </c>
      <c r="S263" s="10">
        <f>SUM(S258-S259+S260+S261+S262)</f>
        <v>816</v>
      </c>
      <c r="T263" s="10">
        <f>SUM(T258+T259+T260+T261+T262)</f>
        <v>51</v>
      </c>
      <c r="U263" s="10">
        <f>SUM(U258+U259-U260-U261-U262)</f>
        <v>42500</v>
      </c>
      <c r="V263" s="10">
        <f>SUM(V258+V259-V260-V261-V262)</f>
        <v>32</v>
      </c>
      <c r="W263" s="10">
        <f>SUM(W258+W259-W260-W261-W262)</f>
        <v>0</v>
      </c>
      <c r="X263" s="10">
        <f>SUM(X258+X259-X260-X261-X262)</f>
        <v>75</v>
      </c>
      <c r="Y263" s="10">
        <f>SUM(Y258+Y259+Y260+Y261+Y262)</f>
        <v>49085</v>
      </c>
      <c r="Z263" s="10">
        <f>SUM(Z258+Z259+Z260+Z261+Z262)</f>
        <v>4090</v>
      </c>
      <c r="AA263" s="10">
        <f>SUM(AA258+AA259+AA260+AA261+AA262)</f>
        <v>27</v>
      </c>
      <c r="AB263" s="10">
        <f>SUM(AB258-AB259+AB260+AB261+AB262)</f>
        <v>907</v>
      </c>
      <c r="AC263" s="10">
        <f t="shared" ref="AC263:AL263" si="54">SUM(AC258+AC259-AC260-AC261-AC262)</f>
        <v>51</v>
      </c>
      <c r="AD263" s="10">
        <f t="shared" si="54"/>
        <v>86075</v>
      </c>
      <c r="AE263" s="10">
        <f t="shared" si="54"/>
        <v>129</v>
      </c>
      <c r="AF263" s="10">
        <f t="shared" si="54"/>
        <v>0</v>
      </c>
      <c r="AG263" s="10">
        <f t="shared" si="54"/>
        <v>0</v>
      </c>
      <c r="AH263" s="10">
        <f t="shared" si="54"/>
        <v>0</v>
      </c>
      <c r="AI263" s="10">
        <f t="shared" si="54"/>
        <v>0</v>
      </c>
      <c r="AJ263" s="10">
        <f t="shared" si="54"/>
        <v>0</v>
      </c>
      <c r="AK263" s="10">
        <f t="shared" si="54"/>
        <v>0</v>
      </c>
      <c r="AL263" s="10">
        <f t="shared" si="54"/>
        <v>24</v>
      </c>
      <c r="AM263" s="10">
        <f>SUM(AM258-AM259+AM260+AM261+AM262)</f>
        <v>5896</v>
      </c>
      <c r="AN263" s="10">
        <f>SUM(AN258-AN259+AN260+AN261+AN262)</f>
        <v>1889</v>
      </c>
      <c r="AO263" s="10">
        <f>SUM(AO258-AO259+AO260+AO261+AO262)</f>
        <v>442</v>
      </c>
    </row>
    <row r="266" spans="1:41" ht="18.75" x14ac:dyDescent="0.3">
      <c r="A266" s="16">
        <v>45879</v>
      </c>
      <c r="B266" s="27" t="s">
        <v>26</v>
      </c>
      <c r="C266" s="27"/>
      <c r="D266" s="27"/>
      <c r="E266" s="27"/>
      <c r="F266" s="27"/>
      <c r="G266" s="27"/>
      <c r="H266" s="27"/>
      <c r="I266" s="27"/>
      <c r="J266" s="27"/>
      <c r="K266" s="27"/>
      <c r="L266" s="27" t="s">
        <v>29</v>
      </c>
      <c r="M266" s="27"/>
      <c r="N266" s="27"/>
      <c r="O266" s="27"/>
      <c r="P266" s="27"/>
      <c r="Q266" s="27"/>
      <c r="R266" s="27"/>
      <c r="S266" s="27"/>
      <c r="T266" s="27"/>
      <c r="U266" s="27" t="s">
        <v>28</v>
      </c>
      <c r="V266" s="27"/>
      <c r="W266" s="27"/>
      <c r="X266" s="27"/>
      <c r="Y266" s="27"/>
      <c r="Z266" s="27"/>
      <c r="AA266" s="27"/>
      <c r="AB266" s="27"/>
      <c r="AC266" s="27"/>
      <c r="AD266" s="27" t="s">
        <v>27</v>
      </c>
      <c r="AE266" s="27"/>
      <c r="AF266" s="27"/>
      <c r="AG266" s="27"/>
      <c r="AH266" s="27"/>
      <c r="AI266" s="27"/>
      <c r="AJ266" s="27"/>
      <c r="AK266" s="27"/>
      <c r="AL266" s="27"/>
      <c r="AM266" s="27" t="s">
        <v>25</v>
      </c>
      <c r="AN266" s="27"/>
      <c r="AO266" s="27"/>
    </row>
    <row r="267" spans="1:41" ht="15" x14ac:dyDescent="0.25">
      <c r="A267" s="5" t="s">
        <v>74</v>
      </c>
      <c r="B267" s="1" t="s">
        <v>0</v>
      </c>
      <c r="C267" s="1" t="s">
        <v>1</v>
      </c>
      <c r="D267" s="1" t="s">
        <v>2</v>
      </c>
      <c r="E267" s="1" t="s">
        <v>3</v>
      </c>
      <c r="F267" s="1" t="s">
        <v>4</v>
      </c>
      <c r="G267" s="1" t="s">
        <v>5</v>
      </c>
      <c r="H267" s="1" t="s">
        <v>33</v>
      </c>
      <c r="I267" s="1" t="s">
        <v>6</v>
      </c>
      <c r="J267" s="1" t="s">
        <v>7</v>
      </c>
      <c r="K267" s="1" t="s">
        <v>8</v>
      </c>
      <c r="L267" s="1" t="s">
        <v>9</v>
      </c>
      <c r="M267" s="1" t="s">
        <v>30</v>
      </c>
      <c r="N267" s="1" t="s">
        <v>10</v>
      </c>
      <c r="O267" s="1" t="s">
        <v>11</v>
      </c>
      <c r="P267" s="1" t="s">
        <v>32</v>
      </c>
      <c r="Q267" s="1" t="s">
        <v>37</v>
      </c>
      <c r="R267" s="1" t="s">
        <v>31</v>
      </c>
      <c r="S267" s="6" t="s">
        <v>12</v>
      </c>
      <c r="T267" s="6" t="s">
        <v>13</v>
      </c>
      <c r="U267" s="6" t="s">
        <v>14</v>
      </c>
      <c r="V267" s="1" t="s">
        <v>30</v>
      </c>
      <c r="W267" s="6" t="s">
        <v>10</v>
      </c>
      <c r="X267" s="6" t="s">
        <v>15</v>
      </c>
      <c r="Y267" s="1" t="s">
        <v>32</v>
      </c>
      <c r="Z267" s="1" t="s">
        <v>37</v>
      </c>
      <c r="AA267" s="1" t="s">
        <v>31</v>
      </c>
      <c r="AB267" s="1" t="s">
        <v>12</v>
      </c>
      <c r="AC267" s="1" t="s">
        <v>13</v>
      </c>
      <c r="AD267" s="1" t="s">
        <v>9</v>
      </c>
      <c r="AE267" s="1" t="s">
        <v>30</v>
      </c>
      <c r="AF267" s="1" t="s">
        <v>10</v>
      </c>
      <c r="AG267" s="1" t="s">
        <v>11</v>
      </c>
      <c r="AH267" s="18" t="s">
        <v>32</v>
      </c>
      <c r="AI267" s="18" t="s">
        <v>37</v>
      </c>
      <c r="AJ267" s="1" t="s">
        <v>44</v>
      </c>
      <c r="AK267" s="7" t="s">
        <v>16</v>
      </c>
      <c r="AL267" s="8" t="s">
        <v>13</v>
      </c>
      <c r="AM267" s="1" t="s">
        <v>17</v>
      </c>
      <c r="AN267" s="8" t="s">
        <v>57</v>
      </c>
      <c r="AO267" s="8" t="s">
        <v>19</v>
      </c>
    </row>
    <row r="268" spans="1:41" ht="15" x14ac:dyDescent="0.25">
      <c r="A268" s="9" t="s">
        <v>20</v>
      </c>
      <c r="B268" s="10">
        <v>123907</v>
      </c>
      <c r="C268" s="10">
        <v>15850</v>
      </c>
      <c r="D268" s="10">
        <v>60000</v>
      </c>
      <c r="E268" s="10">
        <v>638</v>
      </c>
      <c r="F268" s="10">
        <v>43675</v>
      </c>
      <c r="G268" s="10">
        <v>10376</v>
      </c>
      <c r="H268" s="3">
        <v>0</v>
      </c>
      <c r="I268" s="25">
        <v>410</v>
      </c>
      <c r="J268" s="10">
        <v>7200</v>
      </c>
      <c r="K268" s="10">
        <v>72.849000000000004</v>
      </c>
      <c r="L268" s="10">
        <v>128600</v>
      </c>
      <c r="M268" s="10">
        <v>171</v>
      </c>
      <c r="N268" s="10">
        <v>0</v>
      </c>
      <c r="O268" s="10">
        <v>87</v>
      </c>
      <c r="P268" s="10">
        <v>49288</v>
      </c>
      <c r="Q268" s="10">
        <v>4107</v>
      </c>
      <c r="R268" s="10">
        <v>152</v>
      </c>
      <c r="S268" s="10">
        <v>816</v>
      </c>
      <c r="T268" s="10">
        <v>51</v>
      </c>
      <c r="U268" s="10">
        <v>42500</v>
      </c>
      <c r="V268" s="10">
        <v>32</v>
      </c>
      <c r="W268" s="10">
        <v>0</v>
      </c>
      <c r="X268" s="10">
        <v>75</v>
      </c>
      <c r="Y268" s="10">
        <v>49085</v>
      </c>
      <c r="Z268" s="10">
        <v>4090</v>
      </c>
      <c r="AA268" s="10">
        <v>27</v>
      </c>
      <c r="AB268" s="10">
        <v>907</v>
      </c>
      <c r="AC268" s="10">
        <v>51</v>
      </c>
      <c r="AD268" s="10">
        <v>86075</v>
      </c>
      <c r="AE268" s="10">
        <v>129</v>
      </c>
      <c r="AF268" s="10">
        <v>0</v>
      </c>
      <c r="AG268" s="19">
        <v>0</v>
      </c>
      <c r="AH268" s="20">
        <v>0</v>
      </c>
      <c r="AI268" s="20">
        <v>0</v>
      </c>
      <c r="AJ268" s="21">
        <v>0</v>
      </c>
      <c r="AK268" s="10">
        <v>0</v>
      </c>
      <c r="AL268" s="10">
        <v>24</v>
      </c>
      <c r="AM268" s="10">
        <v>5896</v>
      </c>
      <c r="AN268" s="10">
        <v>1889</v>
      </c>
      <c r="AO268" s="10">
        <v>442</v>
      </c>
    </row>
    <row r="269" spans="1:41" ht="15" x14ac:dyDescent="0.25">
      <c r="A269" s="9" t="s">
        <v>21</v>
      </c>
      <c r="B269" s="10">
        <v>0</v>
      </c>
      <c r="C269" s="10">
        <f>SUM(2032-140+8097-1400-1500-223-325)</f>
        <v>6541</v>
      </c>
      <c r="D269" s="10">
        <v>0</v>
      </c>
      <c r="E269" s="10">
        <v>0</v>
      </c>
      <c r="F269" s="10">
        <v>0</v>
      </c>
      <c r="G269" s="10">
        <f>SUM(1210-13+5827-72)</f>
        <v>6952</v>
      </c>
      <c r="H269" s="2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29000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f>9075+SUM(10050)</f>
        <v>19125</v>
      </c>
      <c r="AE269" s="10">
        <v>0</v>
      </c>
      <c r="AF269" s="10">
        <v>0</v>
      </c>
      <c r="AG269" s="19">
        <v>0</v>
      </c>
      <c r="AH269" s="20">
        <v>0</v>
      </c>
      <c r="AI269" s="20">
        <v>0</v>
      </c>
      <c r="AJ269" s="21">
        <v>0</v>
      </c>
      <c r="AK269" s="10">
        <v>0</v>
      </c>
      <c r="AL269" s="10">
        <v>0</v>
      </c>
      <c r="AM269" s="10">
        <v>5990</v>
      </c>
      <c r="AN269" s="10">
        <v>0</v>
      </c>
      <c r="AO269" s="10">
        <v>0</v>
      </c>
    </row>
    <row r="270" spans="1:41" ht="15" x14ac:dyDescent="0.25">
      <c r="A270" s="11" t="s">
        <v>22</v>
      </c>
      <c r="B270" s="12">
        <v>2032</v>
      </c>
      <c r="C270" s="17">
        <f>SUM(5832)</f>
        <v>5832</v>
      </c>
      <c r="D270" s="12">
        <v>0</v>
      </c>
      <c r="E270" s="12">
        <v>590</v>
      </c>
      <c r="F270" s="12">
        <v>1210</v>
      </c>
      <c r="G270" s="12">
        <v>2268</v>
      </c>
      <c r="H270" s="4">
        <v>0</v>
      </c>
      <c r="I270" s="12">
        <v>0</v>
      </c>
      <c r="J270" s="12">
        <v>900</v>
      </c>
      <c r="K270" s="12">
        <v>4.5</v>
      </c>
      <c r="L270" s="12">
        <v>9075</v>
      </c>
      <c r="M270" s="12">
        <v>0</v>
      </c>
      <c r="N270" s="12">
        <v>0</v>
      </c>
      <c r="O270" s="12">
        <v>0</v>
      </c>
      <c r="P270" s="10">
        <v>0</v>
      </c>
      <c r="Q270" s="10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29075</v>
      </c>
      <c r="AE270" s="12">
        <v>0</v>
      </c>
      <c r="AF270" s="12">
        <v>0</v>
      </c>
      <c r="AG270" s="22">
        <v>0</v>
      </c>
      <c r="AH270" s="20">
        <v>0</v>
      </c>
      <c r="AI270" s="20">
        <v>0</v>
      </c>
      <c r="AJ270" s="23">
        <v>0</v>
      </c>
      <c r="AK270" s="12">
        <v>0</v>
      </c>
      <c r="AL270" s="12">
        <v>0</v>
      </c>
      <c r="AM270" s="12">
        <v>1640</v>
      </c>
      <c r="AN270" s="12">
        <v>23</v>
      </c>
      <c r="AO270" s="12">
        <v>9</v>
      </c>
    </row>
    <row r="271" spans="1:41" ht="15" x14ac:dyDescent="0.25">
      <c r="A271" s="13" t="s">
        <v>46</v>
      </c>
      <c r="B271" s="10">
        <v>8098</v>
      </c>
      <c r="C271" s="10">
        <v>6480</v>
      </c>
      <c r="D271" s="10">
        <v>0</v>
      </c>
      <c r="E271" s="10">
        <v>0</v>
      </c>
      <c r="F271" s="10">
        <v>0</v>
      </c>
      <c r="G271" s="10">
        <v>2520</v>
      </c>
      <c r="H271" s="2">
        <v>0</v>
      </c>
      <c r="I271" s="10">
        <v>0</v>
      </c>
      <c r="J271" s="10">
        <v>1000</v>
      </c>
      <c r="K271" s="10">
        <v>5</v>
      </c>
      <c r="L271" s="10">
        <v>10050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24">
        <v>0</v>
      </c>
      <c r="AI271" s="24">
        <v>0</v>
      </c>
      <c r="AJ271" s="10">
        <v>0</v>
      </c>
      <c r="AK271" s="10">
        <v>0</v>
      </c>
      <c r="AL271" s="10">
        <v>0</v>
      </c>
      <c r="AM271" s="10">
        <v>1400</v>
      </c>
      <c r="AN271" s="10">
        <v>300</v>
      </c>
      <c r="AO271" s="15">
        <v>0</v>
      </c>
    </row>
    <row r="272" spans="1:41" ht="15" x14ac:dyDescent="0.25">
      <c r="A272" s="13" t="s">
        <v>47</v>
      </c>
      <c r="B272" s="10">
        <v>0</v>
      </c>
      <c r="C272" s="10">
        <v>0</v>
      </c>
      <c r="D272" s="10">
        <v>0</v>
      </c>
      <c r="E272" s="10">
        <v>0</v>
      </c>
      <c r="F272" s="10">
        <v>5827</v>
      </c>
      <c r="G272" s="10">
        <v>0</v>
      </c>
      <c r="H272" s="2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24">
        <v>0</v>
      </c>
      <c r="AI272" s="24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97</v>
      </c>
      <c r="AO272" s="15">
        <f>22+SUM(568)</f>
        <v>590</v>
      </c>
    </row>
    <row r="273" spans="1:41" ht="15" x14ac:dyDescent="0.25">
      <c r="A273" s="14" t="s">
        <v>24</v>
      </c>
      <c r="B273" s="10">
        <f t="shared" ref="B273:K273" si="55">SUM(B268+B269-B270-B271-B272)</f>
        <v>113777</v>
      </c>
      <c r="C273" s="10">
        <f t="shared" si="55"/>
        <v>10079</v>
      </c>
      <c r="D273" s="10">
        <f t="shared" si="55"/>
        <v>60000</v>
      </c>
      <c r="E273" s="10">
        <f t="shared" si="55"/>
        <v>48</v>
      </c>
      <c r="F273" s="10">
        <f t="shared" si="55"/>
        <v>36638</v>
      </c>
      <c r="G273" s="10">
        <f t="shared" si="55"/>
        <v>12540</v>
      </c>
      <c r="H273" s="2">
        <f t="shared" si="55"/>
        <v>0</v>
      </c>
      <c r="I273" s="10">
        <f t="shared" si="55"/>
        <v>410</v>
      </c>
      <c r="J273" s="10">
        <f t="shared" si="55"/>
        <v>5300</v>
      </c>
      <c r="K273" s="10">
        <f t="shared" si="55"/>
        <v>63.349000000000004</v>
      </c>
      <c r="L273" s="10">
        <f>SUM(L268+L270+L271+L272)</f>
        <v>147725</v>
      </c>
      <c r="M273" s="10">
        <f>SUM(M268+M269+M270+M271+M272)</f>
        <v>171</v>
      </c>
      <c r="N273" s="10">
        <f>SUM(N268+N269-N270-N271-N272)</f>
        <v>0</v>
      </c>
      <c r="O273" s="10">
        <f>SUM(O268+O269-O270-O271-O272)</f>
        <v>87</v>
      </c>
      <c r="P273" s="10">
        <f>SUM(P268+P269+P270+P272)</f>
        <v>49288</v>
      </c>
      <c r="Q273" s="10">
        <f>SUM(Q268-Q269+Q270+Q271+Q272)</f>
        <v>4107</v>
      </c>
      <c r="R273" s="10">
        <f>SUM(R268-R269+R270+R271+R272)</f>
        <v>152</v>
      </c>
      <c r="S273" s="10">
        <f>SUM(S268-S269+S270+S271+S272)</f>
        <v>816</v>
      </c>
      <c r="T273" s="10">
        <f>SUM(T268+T269+T270+T271+T272)</f>
        <v>51</v>
      </c>
      <c r="U273" s="10">
        <f>SUM(U268+U269-U270-U271-U272)</f>
        <v>71500</v>
      </c>
      <c r="V273" s="10">
        <f>SUM(V268+V269-V270-V271-V272)</f>
        <v>32</v>
      </c>
      <c r="W273" s="10">
        <f>SUM(W268+W269-W270-W271-W272)</f>
        <v>0</v>
      </c>
      <c r="X273" s="10">
        <f>SUM(X268+X269-X270-X271-X272)</f>
        <v>75</v>
      </c>
      <c r="Y273" s="10">
        <f>SUM(Y268+Y269+Y270+Y271+Y272)</f>
        <v>49085</v>
      </c>
      <c r="Z273" s="10">
        <f>SUM(Z268+Z269+Z270+Z271+Z272)</f>
        <v>4090</v>
      </c>
      <c r="AA273" s="10">
        <f>SUM(AA268+AA269+AA270+AA271+AA272)</f>
        <v>27</v>
      </c>
      <c r="AB273" s="10">
        <f>SUM(AB268-AB269+AB270+AB271+AB272)</f>
        <v>907</v>
      </c>
      <c r="AC273" s="10">
        <f t="shared" ref="AC273:AL273" si="56">SUM(AC268+AC269-AC270-AC271-AC272)</f>
        <v>51</v>
      </c>
      <c r="AD273" s="10">
        <f t="shared" si="56"/>
        <v>76125</v>
      </c>
      <c r="AE273" s="10">
        <f t="shared" si="56"/>
        <v>129</v>
      </c>
      <c r="AF273" s="10">
        <f t="shared" si="56"/>
        <v>0</v>
      </c>
      <c r="AG273" s="10">
        <f t="shared" si="56"/>
        <v>0</v>
      </c>
      <c r="AH273" s="10">
        <f t="shared" si="56"/>
        <v>0</v>
      </c>
      <c r="AI273" s="10">
        <f t="shared" si="56"/>
        <v>0</v>
      </c>
      <c r="AJ273" s="10">
        <f t="shared" si="56"/>
        <v>0</v>
      </c>
      <c r="AK273" s="10">
        <f t="shared" si="56"/>
        <v>0</v>
      </c>
      <c r="AL273" s="10">
        <f t="shared" si="56"/>
        <v>24</v>
      </c>
      <c r="AM273" s="10">
        <f>SUM(AM268-AM269+AM270+AM271+AM272)</f>
        <v>2946</v>
      </c>
      <c r="AN273" s="10">
        <f>SUM(AN268-AN269+AN270+AN271+AN272)</f>
        <v>2309</v>
      </c>
      <c r="AO273" s="10">
        <f>SUM(AO268-AO269+AO270+AO271+AO272)</f>
        <v>1041</v>
      </c>
    </row>
    <row r="276" spans="1:41" ht="18.75" x14ac:dyDescent="0.3">
      <c r="A276" s="16">
        <v>45910</v>
      </c>
      <c r="B276" s="27" t="s">
        <v>26</v>
      </c>
      <c r="C276" s="27"/>
      <c r="D276" s="27"/>
      <c r="E276" s="27"/>
      <c r="F276" s="27"/>
      <c r="G276" s="27"/>
      <c r="H276" s="27"/>
      <c r="I276" s="27"/>
      <c r="J276" s="27"/>
      <c r="K276" s="27"/>
      <c r="L276" s="27" t="s">
        <v>29</v>
      </c>
      <c r="M276" s="27"/>
      <c r="N276" s="27"/>
      <c r="O276" s="27"/>
      <c r="P276" s="27"/>
      <c r="Q276" s="27"/>
      <c r="R276" s="27"/>
      <c r="S276" s="27"/>
      <c r="T276" s="27"/>
      <c r="U276" s="27" t="s">
        <v>28</v>
      </c>
      <c r="V276" s="27"/>
      <c r="W276" s="27"/>
      <c r="X276" s="27"/>
      <c r="Y276" s="27"/>
      <c r="Z276" s="27"/>
      <c r="AA276" s="27"/>
      <c r="AB276" s="27"/>
      <c r="AC276" s="27"/>
      <c r="AD276" s="27" t="s">
        <v>27</v>
      </c>
      <c r="AE276" s="27"/>
      <c r="AF276" s="27"/>
      <c r="AG276" s="27"/>
      <c r="AH276" s="27"/>
      <c r="AI276" s="27"/>
      <c r="AJ276" s="27"/>
      <c r="AK276" s="27"/>
      <c r="AL276" s="27"/>
      <c r="AM276" s="27" t="s">
        <v>25</v>
      </c>
      <c r="AN276" s="27"/>
      <c r="AO276" s="27"/>
    </row>
    <row r="277" spans="1:41" ht="15" x14ac:dyDescent="0.25">
      <c r="A277" s="5" t="s">
        <v>74</v>
      </c>
      <c r="B277" s="1" t="s">
        <v>0</v>
      </c>
      <c r="C277" s="1" t="s">
        <v>1</v>
      </c>
      <c r="D277" s="1" t="s">
        <v>2</v>
      </c>
      <c r="E277" s="1" t="s">
        <v>3</v>
      </c>
      <c r="F277" s="1" t="s">
        <v>4</v>
      </c>
      <c r="G277" s="1" t="s">
        <v>5</v>
      </c>
      <c r="H277" s="1" t="s">
        <v>33</v>
      </c>
      <c r="I277" s="1" t="s">
        <v>6</v>
      </c>
      <c r="J277" s="1" t="s">
        <v>7</v>
      </c>
      <c r="K277" s="1" t="s">
        <v>8</v>
      </c>
      <c r="L277" s="1" t="s">
        <v>9</v>
      </c>
      <c r="M277" s="1" t="s">
        <v>30</v>
      </c>
      <c r="N277" s="1" t="s">
        <v>10</v>
      </c>
      <c r="O277" s="1" t="s">
        <v>11</v>
      </c>
      <c r="P277" s="1" t="s">
        <v>32</v>
      </c>
      <c r="Q277" s="1" t="s">
        <v>37</v>
      </c>
      <c r="R277" s="1" t="s">
        <v>31</v>
      </c>
      <c r="S277" s="6" t="s">
        <v>12</v>
      </c>
      <c r="T277" s="6" t="s">
        <v>13</v>
      </c>
      <c r="U277" s="6" t="s">
        <v>14</v>
      </c>
      <c r="V277" s="1" t="s">
        <v>30</v>
      </c>
      <c r="W277" s="6" t="s">
        <v>10</v>
      </c>
      <c r="X277" s="6" t="s">
        <v>15</v>
      </c>
      <c r="Y277" s="1" t="s">
        <v>32</v>
      </c>
      <c r="Z277" s="1" t="s">
        <v>37</v>
      </c>
      <c r="AA277" s="1" t="s">
        <v>31</v>
      </c>
      <c r="AB277" s="1" t="s">
        <v>12</v>
      </c>
      <c r="AC277" s="1" t="s">
        <v>13</v>
      </c>
      <c r="AD277" s="1" t="s">
        <v>9</v>
      </c>
      <c r="AE277" s="1" t="s">
        <v>30</v>
      </c>
      <c r="AF277" s="1" t="s">
        <v>10</v>
      </c>
      <c r="AG277" s="1" t="s">
        <v>11</v>
      </c>
      <c r="AH277" s="18" t="s">
        <v>32</v>
      </c>
      <c r="AI277" s="18" t="s">
        <v>37</v>
      </c>
      <c r="AJ277" s="1" t="s">
        <v>44</v>
      </c>
      <c r="AK277" s="7" t="s">
        <v>16</v>
      </c>
      <c r="AL277" s="8" t="s">
        <v>13</v>
      </c>
      <c r="AM277" s="1" t="s">
        <v>17</v>
      </c>
      <c r="AN277" s="8" t="s">
        <v>57</v>
      </c>
      <c r="AO277" s="8" t="s">
        <v>19</v>
      </c>
    </row>
    <row r="278" spans="1:41" ht="15" x14ac:dyDescent="0.25">
      <c r="A278" s="9" t="s">
        <v>20</v>
      </c>
      <c r="B278" s="10">
        <v>113777</v>
      </c>
      <c r="C278" s="10">
        <v>10079</v>
      </c>
      <c r="D278" s="10">
        <v>60000</v>
      </c>
      <c r="E278" s="10">
        <v>48</v>
      </c>
      <c r="F278" s="10">
        <v>36638</v>
      </c>
      <c r="G278" s="10">
        <v>12540</v>
      </c>
      <c r="H278" s="3">
        <v>0</v>
      </c>
      <c r="I278" s="25">
        <v>410</v>
      </c>
      <c r="J278" s="10">
        <v>5300</v>
      </c>
      <c r="K278" s="10">
        <v>63.348999999999997</v>
      </c>
      <c r="L278" s="10">
        <v>147725</v>
      </c>
      <c r="M278" s="10">
        <v>171</v>
      </c>
      <c r="N278" s="10">
        <v>0</v>
      </c>
      <c r="O278" s="10">
        <v>87</v>
      </c>
      <c r="P278" s="10">
        <v>49288</v>
      </c>
      <c r="Q278" s="10">
        <v>4107</v>
      </c>
      <c r="R278" s="10">
        <v>152</v>
      </c>
      <c r="S278" s="10">
        <v>816</v>
      </c>
      <c r="T278" s="10">
        <v>51</v>
      </c>
      <c r="U278" s="10">
        <v>71500</v>
      </c>
      <c r="V278" s="10">
        <v>32</v>
      </c>
      <c r="W278" s="10">
        <v>0</v>
      </c>
      <c r="X278" s="10">
        <v>75</v>
      </c>
      <c r="Y278" s="10">
        <v>49085</v>
      </c>
      <c r="Z278" s="10">
        <v>4090</v>
      </c>
      <c r="AA278" s="10">
        <v>27</v>
      </c>
      <c r="AB278" s="10">
        <v>907</v>
      </c>
      <c r="AC278" s="10">
        <v>51</v>
      </c>
      <c r="AD278" s="10">
        <v>76125</v>
      </c>
      <c r="AE278" s="10">
        <v>129</v>
      </c>
      <c r="AF278" s="10">
        <v>0</v>
      </c>
      <c r="AG278" s="19">
        <v>0</v>
      </c>
      <c r="AH278" s="20">
        <v>0</v>
      </c>
      <c r="AI278" s="20">
        <v>0</v>
      </c>
      <c r="AJ278" s="21">
        <v>0</v>
      </c>
      <c r="AK278" s="10">
        <v>0</v>
      </c>
      <c r="AL278" s="10">
        <v>24</v>
      </c>
      <c r="AM278" s="10">
        <v>2946</v>
      </c>
      <c r="AN278" s="10">
        <v>2309</v>
      </c>
      <c r="AO278" s="10">
        <v>1041</v>
      </c>
    </row>
    <row r="279" spans="1:41" ht="15" x14ac:dyDescent="0.25">
      <c r="A279" s="9" t="s">
        <v>21</v>
      </c>
      <c r="B279" s="10">
        <v>0</v>
      </c>
      <c r="C279" s="10">
        <f>SUM(4942-955-141+3856-630-84+9592-1610-160)</f>
        <v>14810</v>
      </c>
      <c r="D279" s="10">
        <v>0</v>
      </c>
      <c r="E279" s="10">
        <v>0</v>
      </c>
      <c r="F279" s="10">
        <v>0</v>
      </c>
      <c r="G279" s="10">
        <f>1100+SUM(190)</f>
        <v>1290</v>
      </c>
      <c r="H279" s="2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f>10050+SUM(12250)</f>
        <v>22300</v>
      </c>
      <c r="AE279" s="10">
        <v>0</v>
      </c>
      <c r="AF279" s="10">
        <v>0</v>
      </c>
      <c r="AG279" s="19">
        <v>0</v>
      </c>
      <c r="AH279" s="20">
        <v>0</v>
      </c>
      <c r="AI279" s="20">
        <v>0</v>
      </c>
      <c r="AJ279" s="21">
        <v>0</v>
      </c>
      <c r="AK279" s="10">
        <v>0</v>
      </c>
      <c r="AL279" s="10">
        <v>0</v>
      </c>
      <c r="AM279" s="10">
        <v>0</v>
      </c>
      <c r="AN279" s="10">
        <f>SUM(2009+300)</f>
        <v>2309</v>
      </c>
      <c r="AO279" s="10">
        <v>1041</v>
      </c>
    </row>
    <row r="280" spans="1:41" ht="15" x14ac:dyDescent="0.25">
      <c r="A280" s="11" t="s">
        <v>22</v>
      </c>
      <c r="B280" s="12">
        <v>4942</v>
      </c>
      <c r="C280" s="17">
        <v>7776</v>
      </c>
      <c r="D280" s="12">
        <v>0</v>
      </c>
      <c r="E280" s="12">
        <v>0</v>
      </c>
      <c r="F280" s="12">
        <v>1131</v>
      </c>
      <c r="G280" s="12">
        <v>3024</v>
      </c>
      <c r="H280" s="4">
        <v>0</v>
      </c>
      <c r="I280" s="12">
        <v>0</v>
      </c>
      <c r="J280" s="12">
        <v>1200</v>
      </c>
      <c r="K280" s="12">
        <v>6</v>
      </c>
      <c r="L280" s="12">
        <v>12250</v>
      </c>
      <c r="M280" s="12">
        <v>0</v>
      </c>
      <c r="N280" s="12">
        <v>0</v>
      </c>
      <c r="O280" s="12">
        <v>0</v>
      </c>
      <c r="P280" s="10">
        <v>0</v>
      </c>
      <c r="Q280" s="10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22">
        <v>0</v>
      </c>
      <c r="AH280" s="20">
        <v>0</v>
      </c>
      <c r="AI280" s="20">
        <v>0</v>
      </c>
      <c r="AJ280" s="23">
        <v>0</v>
      </c>
      <c r="AK280" s="12">
        <v>0</v>
      </c>
      <c r="AL280" s="12">
        <v>0</v>
      </c>
      <c r="AM280" s="12">
        <v>630</v>
      </c>
      <c r="AN280" s="12">
        <v>94</v>
      </c>
      <c r="AO280" s="12">
        <v>20</v>
      </c>
    </row>
    <row r="281" spans="1:41" ht="15" x14ac:dyDescent="0.25">
      <c r="A281" s="13" t="s">
        <v>46</v>
      </c>
      <c r="B281" s="10">
        <v>3856</v>
      </c>
      <c r="C281" s="10">
        <v>6480</v>
      </c>
      <c r="D281" s="10">
        <v>0</v>
      </c>
      <c r="E281" s="10">
        <v>0</v>
      </c>
      <c r="F281" s="10">
        <v>205</v>
      </c>
      <c r="G281" s="10">
        <v>2520</v>
      </c>
      <c r="H281" s="2">
        <v>0</v>
      </c>
      <c r="I281" s="10">
        <v>0</v>
      </c>
      <c r="J281" s="10">
        <v>1000</v>
      </c>
      <c r="K281" s="10">
        <v>5</v>
      </c>
      <c r="L281" s="10">
        <v>10050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24">
        <v>0</v>
      </c>
      <c r="AI281" s="24">
        <v>0</v>
      </c>
      <c r="AJ281" s="10">
        <v>0</v>
      </c>
      <c r="AK281" s="10">
        <v>0</v>
      </c>
      <c r="AL281" s="10">
        <v>0</v>
      </c>
      <c r="AM281" s="10">
        <v>955</v>
      </c>
      <c r="AN281" s="10">
        <v>153</v>
      </c>
      <c r="AO281" s="15">
        <v>18</v>
      </c>
    </row>
    <row r="282" spans="1:41" ht="15" x14ac:dyDescent="0.25">
      <c r="A282" s="13" t="s">
        <v>47</v>
      </c>
      <c r="B282" s="10">
        <v>9592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2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24">
        <v>0</v>
      </c>
      <c r="AI282" s="24">
        <v>0</v>
      </c>
      <c r="AJ282" s="10">
        <v>0</v>
      </c>
      <c r="AK282" s="10">
        <v>0</v>
      </c>
      <c r="AL282" s="10">
        <v>0</v>
      </c>
      <c r="AM282" s="10">
        <v>1610</v>
      </c>
      <c r="AN282" s="10">
        <v>160</v>
      </c>
      <c r="AO282" s="15">
        <v>0</v>
      </c>
    </row>
    <row r="283" spans="1:41" ht="15" x14ac:dyDescent="0.25">
      <c r="A283" s="14" t="s">
        <v>24</v>
      </c>
      <c r="B283" s="10">
        <f t="shared" ref="B283:K283" si="57">SUM(B278+B279-B280-B281-B282)</f>
        <v>95387</v>
      </c>
      <c r="C283" s="10">
        <f t="shared" si="57"/>
        <v>10633</v>
      </c>
      <c r="D283" s="10">
        <f t="shared" si="57"/>
        <v>60000</v>
      </c>
      <c r="E283" s="10">
        <f t="shared" si="57"/>
        <v>48</v>
      </c>
      <c r="F283" s="10">
        <f t="shared" si="57"/>
        <v>35302</v>
      </c>
      <c r="G283" s="10">
        <f t="shared" si="57"/>
        <v>8286</v>
      </c>
      <c r="H283" s="2">
        <f t="shared" si="57"/>
        <v>0</v>
      </c>
      <c r="I283" s="10">
        <f t="shared" si="57"/>
        <v>410</v>
      </c>
      <c r="J283" s="10">
        <f t="shared" si="57"/>
        <v>3100</v>
      </c>
      <c r="K283" s="10">
        <f t="shared" si="57"/>
        <v>52.348999999999997</v>
      </c>
      <c r="L283" s="10">
        <f>SUM(L278+L280+L281+L282)</f>
        <v>170025</v>
      </c>
      <c r="M283" s="10">
        <f>SUM(M278+M279+M280+M281+M282)</f>
        <v>171</v>
      </c>
      <c r="N283" s="10">
        <f>SUM(N278+N279-N280-N281-N282)</f>
        <v>0</v>
      </c>
      <c r="O283" s="10">
        <f>SUM(O278+O279-O280-O281-O282)</f>
        <v>87</v>
      </c>
      <c r="P283" s="10">
        <f>SUM(P278+P279+P280+P282)</f>
        <v>49288</v>
      </c>
      <c r="Q283" s="10">
        <f>SUM(Q278-Q279+Q280+Q281+Q282)</f>
        <v>4107</v>
      </c>
      <c r="R283" s="10">
        <f>SUM(R278-R279+R280+R281+R282)</f>
        <v>152</v>
      </c>
      <c r="S283" s="10">
        <f>SUM(S278-S279+S280+S281+S282)</f>
        <v>816</v>
      </c>
      <c r="T283" s="10">
        <f>SUM(T278+T279+T280+T281+T282)</f>
        <v>51</v>
      </c>
      <c r="U283" s="10">
        <f>SUM(U278+U279-U280-U281-U282)</f>
        <v>71500</v>
      </c>
      <c r="V283" s="10">
        <f>SUM(V278+V279-V280-V281-V282)</f>
        <v>32</v>
      </c>
      <c r="W283" s="10">
        <f>SUM(W278+W279-W280-W281-W282)</f>
        <v>0</v>
      </c>
      <c r="X283" s="10">
        <f>SUM(X278+X279-X280-X281-X282)</f>
        <v>75</v>
      </c>
      <c r="Y283" s="10">
        <f>SUM(Y278+Y279+Y280+Y281+Y282)</f>
        <v>49085</v>
      </c>
      <c r="Z283" s="10">
        <f>SUM(Z278+Z279+Z280+Z281+Z282)</f>
        <v>4090</v>
      </c>
      <c r="AA283" s="10">
        <f>SUM(AA278+AA279+AA280+AA281+AA282)</f>
        <v>27</v>
      </c>
      <c r="AB283" s="10">
        <f>SUM(AB278-AB279+AB280+AB281+AB282)</f>
        <v>907</v>
      </c>
      <c r="AC283" s="10">
        <f t="shared" ref="AC283:AL283" si="58">SUM(AC278+AC279-AC280-AC281-AC282)</f>
        <v>51</v>
      </c>
      <c r="AD283" s="10">
        <f t="shared" si="58"/>
        <v>98425</v>
      </c>
      <c r="AE283" s="10">
        <f t="shared" si="58"/>
        <v>129</v>
      </c>
      <c r="AF283" s="10">
        <f t="shared" si="58"/>
        <v>0</v>
      </c>
      <c r="AG283" s="10">
        <f t="shared" si="58"/>
        <v>0</v>
      </c>
      <c r="AH283" s="10">
        <f t="shared" si="58"/>
        <v>0</v>
      </c>
      <c r="AI283" s="10">
        <f t="shared" si="58"/>
        <v>0</v>
      </c>
      <c r="AJ283" s="10">
        <f t="shared" si="58"/>
        <v>0</v>
      </c>
      <c r="AK283" s="10">
        <f t="shared" si="58"/>
        <v>0</v>
      </c>
      <c r="AL283" s="10">
        <f t="shared" si="58"/>
        <v>24</v>
      </c>
      <c r="AM283" s="10">
        <f>SUM(AM278-AM279+AM280+AM281+AM282)</f>
        <v>6141</v>
      </c>
      <c r="AN283" s="10">
        <f>SUM(AN278-AN279+AN280+AN281+AN282)</f>
        <v>407</v>
      </c>
      <c r="AO283" s="10">
        <f>SUM(AO278-AO279+AO280+AO281+AO282)</f>
        <v>38</v>
      </c>
    </row>
    <row r="286" spans="1:41" ht="18.75" x14ac:dyDescent="0.3">
      <c r="A286" s="16">
        <v>45940</v>
      </c>
      <c r="B286" s="27" t="s">
        <v>26</v>
      </c>
      <c r="C286" s="27"/>
      <c r="D286" s="27"/>
      <c r="E286" s="27"/>
      <c r="F286" s="27"/>
      <c r="G286" s="27"/>
      <c r="H286" s="27"/>
      <c r="I286" s="27"/>
      <c r="J286" s="27"/>
      <c r="K286" s="27"/>
      <c r="L286" s="27" t="s">
        <v>29</v>
      </c>
      <c r="M286" s="27"/>
      <c r="N286" s="27"/>
      <c r="O286" s="27"/>
      <c r="P286" s="27"/>
      <c r="Q286" s="27"/>
      <c r="R286" s="27"/>
      <c r="S286" s="27"/>
      <c r="T286" s="27"/>
      <c r="U286" s="27" t="s">
        <v>28</v>
      </c>
      <c r="V286" s="27"/>
      <c r="W286" s="27"/>
      <c r="X286" s="27"/>
      <c r="Y286" s="27"/>
      <c r="Z286" s="27"/>
      <c r="AA286" s="27"/>
      <c r="AB286" s="27"/>
      <c r="AC286" s="27"/>
      <c r="AD286" s="27" t="s">
        <v>27</v>
      </c>
      <c r="AE286" s="27"/>
      <c r="AF286" s="27"/>
      <c r="AG286" s="27"/>
      <c r="AH286" s="27"/>
      <c r="AI286" s="27"/>
      <c r="AJ286" s="27"/>
      <c r="AK286" s="27"/>
      <c r="AL286" s="27"/>
      <c r="AM286" s="27" t="s">
        <v>25</v>
      </c>
      <c r="AN286" s="27"/>
      <c r="AO286" s="27"/>
    </row>
    <row r="287" spans="1:41" ht="15" x14ac:dyDescent="0.25">
      <c r="A287" s="5" t="s">
        <v>74</v>
      </c>
      <c r="B287" s="1" t="s">
        <v>0</v>
      </c>
      <c r="C287" s="1" t="s">
        <v>1</v>
      </c>
      <c r="D287" s="1" t="s">
        <v>2</v>
      </c>
      <c r="E287" s="1" t="s">
        <v>3</v>
      </c>
      <c r="F287" s="1" t="s">
        <v>4</v>
      </c>
      <c r="G287" s="1" t="s">
        <v>5</v>
      </c>
      <c r="H287" s="1" t="s">
        <v>33</v>
      </c>
      <c r="I287" s="1" t="s">
        <v>6</v>
      </c>
      <c r="J287" s="1" t="s">
        <v>7</v>
      </c>
      <c r="K287" s="1" t="s">
        <v>8</v>
      </c>
      <c r="L287" s="1" t="s">
        <v>9</v>
      </c>
      <c r="M287" s="1" t="s">
        <v>30</v>
      </c>
      <c r="N287" s="1" t="s">
        <v>10</v>
      </c>
      <c r="O287" s="1" t="s">
        <v>11</v>
      </c>
      <c r="P287" s="1" t="s">
        <v>32</v>
      </c>
      <c r="Q287" s="1" t="s">
        <v>37</v>
      </c>
      <c r="R287" s="1" t="s">
        <v>31</v>
      </c>
      <c r="S287" s="6" t="s">
        <v>12</v>
      </c>
      <c r="T287" s="6" t="s">
        <v>13</v>
      </c>
      <c r="U287" s="6" t="s">
        <v>14</v>
      </c>
      <c r="V287" s="1" t="s">
        <v>30</v>
      </c>
      <c r="W287" s="6" t="s">
        <v>10</v>
      </c>
      <c r="X287" s="6" t="s">
        <v>15</v>
      </c>
      <c r="Y287" s="1" t="s">
        <v>32</v>
      </c>
      <c r="Z287" s="1" t="s">
        <v>37</v>
      </c>
      <c r="AA287" s="1" t="s">
        <v>31</v>
      </c>
      <c r="AB287" s="1" t="s">
        <v>12</v>
      </c>
      <c r="AC287" s="1" t="s">
        <v>13</v>
      </c>
      <c r="AD287" s="1" t="s">
        <v>9</v>
      </c>
      <c r="AE287" s="1" t="s">
        <v>30</v>
      </c>
      <c r="AF287" s="1" t="s">
        <v>10</v>
      </c>
      <c r="AG287" s="1" t="s">
        <v>11</v>
      </c>
      <c r="AH287" s="18" t="s">
        <v>32</v>
      </c>
      <c r="AI287" s="18" t="s">
        <v>37</v>
      </c>
      <c r="AJ287" s="1" t="s">
        <v>44</v>
      </c>
      <c r="AK287" s="7" t="s">
        <v>16</v>
      </c>
      <c r="AL287" s="8" t="s">
        <v>13</v>
      </c>
      <c r="AM287" s="1" t="s">
        <v>17</v>
      </c>
      <c r="AN287" s="8" t="s">
        <v>57</v>
      </c>
      <c r="AO287" s="8" t="s">
        <v>19</v>
      </c>
    </row>
    <row r="288" spans="1:41" ht="15" x14ac:dyDescent="0.25">
      <c r="A288" s="9" t="s">
        <v>20</v>
      </c>
      <c r="B288" s="10">
        <v>95387</v>
      </c>
      <c r="C288" s="10">
        <v>10633</v>
      </c>
      <c r="D288" s="10">
        <v>60000</v>
      </c>
      <c r="E288" s="10">
        <v>48</v>
      </c>
      <c r="F288" s="10">
        <v>35302</v>
      </c>
      <c r="G288" s="10">
        <v>8286</v>
      </c>
      <c r="H288" s="3">
        <v>0</v>
      </c>
      <c r="I288" s="25">
        <v>410</v>
      </c>
      <c r="J288" s="10">
        <v>3100</v>
      </c>
      <c r="K288" s="10">
        <v>52.348999999999997</v>
      </c>
      <c r="L288" s="10">
        <v>170025</v>
      </c>
      <c r="M288" s="10">
        <v>171</v>
      </c>
      <c r="N288" s="10">
        <v>0</v>
      </c>
      <c r="O288" s="10">
        <v>87</v>
      </c>
      <c r="P288" s="10">
        <v>49288</v>
      </c>
      <c r="Q288" s="10">
        <v>4107</v>
      </c>
      <c r="R288" s="10">
        <v>152</v>
      </c>
      <c r="S288" s="10">
        <v>816</v>
      </c>
      <c r="T288" s="10">
        <v>51</v>
      </c>
      <c r="U288" s="10">
        <v>71500</v>
      </c>
      <c r="V288" s="10">
        <v>32</v>
      </c>
      <c r="W288" s="10">
        <v>0</v>
      </c>
      <c r="X288" s="10">
        <v>75</v>
      </c>
      <c r="Y288" s="10">
        <v>49085</v>
      </c>
      <c r="Z288" s="10">
        <v>4090</v>
      </c>
      <c r="AA288" s="10">
        <v>27</v>
      </c>
      <c r="AB288" s="10">
        <v>907</v>
      </c>
      <c r="AC288" s="10">
        <v>51</v>
      </c>
      <c r="AD288" s="10">
        <v>98425</v>
      </c>
      <c r="AE288" s="10">
        <v>129</v>
      </c>
      <c r="AF288" s="10">
        <v>0</v>
      </c>
      <c r="AG288" s="19">
        <v>0</v>
      </c>
      <c r="AH288" s="20">
        <v>0</v>
      </c>
      <c r="AI288" s="20">
        <v>0</v>
      </c>
      <c r="AJ288" s="21">
        <v>0</v>
      </c>
      <c r="AK288" s="10">
        <v>0</v>
      </c>
      <c r="AL288" s="10">
        <v>24</v>
      </c>
      <c r="AM288" s="10">
        <v>6141</v>
      </c>
      <c r="AN288" s="10">
        <v>407</v>
      </c>
      <c r="AO288" s="10">
        <v>38</v>
      </c>
    </row>
    <row r="289" spans="1:41" ht="15" x14ac:dyDescent="0.25">
      <c r="A289" s="9" t="s">
        <v>21</v>
      </c>
      <c r="B289" s="10">
        <v>0</v>
      </c>
      <c r="C289" s="10">
        <f>SUM(SUM(4165-832-81+767-490-71))</f>
        <v>3458</v>
      </c>
      <c r="D289" s="10">
        <v>0</v>
      </c>
      <c r="E289" s="10">
        <v>0</v>
      </c>
      <c r="F289" s="10">
        <v>0</v>
      </c>
      <c r="G289" s="10">
        <f>SUM(3000-100+7801-224)</f>
        <v>10477</v>
      </c>
      <c r="H289" s="2">
        <v>0</v>
      </c>
      <c r="I289" s="10">
        <v>0</v>
      </c>
      <c r="J289" s="10">
        <v>12500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f>12025+SUM(7000)</f>
        <v>19025</v>
      </c>
      <c r="AE289" s="10">
        <v>0</v>
      </c>
      <c r="AF289" s="10">
        <v>0</v>
      </c>
      <c r="AG289" s="19">
        <v>0</v>
      </c>
      <c r="AH289" s="20">
        <v>0</v>
      </c>
      <c r="AI289" s="20">
        <v>0</v>
      </c>
      <c r="AJ289" s="21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</row>
    <row r="290" spans="1:41" ht="15" x14ac:dyDescent="0.25">
      <c r="A290" s="11" t="s">
        <v>22</v>
      </c>
      <c r="B290" s="12">
        <v>4165</v>
      </c>
      <c r="C290" s="17">
        <v>7776</v>
      </c>
      <c r="D290" s="12">
        <v>0</v>
      </c>
      <c r="E290" s="12">
        <v>48</v>
      </c>
      <c r="F290" s="12">
        <v>0</v>
      </c>
      <c r="G290" s="12">
        <v>3024</v>
      </c>
      <c r="H290" s="4">
        <v>0</v>
      </c>
      <c r="I290" s="12">
        <v>0</v>
      </c>
      <c r="J290" s="12">
        <v>1200</v>
      </c>
      <c r="K290" s="12">
        <v>6</v>
      </c>
      <c r="L290" s="12">
        <v>12025</v>
      </c>
      <c r="M290" s="12">
        <v>0</v>
      </c>
      <c r="N290" s="12">
        <v>0</v>
      </c>
      <c r="O290" s="12">
        <v>0</v>
      </c>
      <c r="P290" s="10">
        <v>0</v>
      </c>
      <c r="Q290" s="10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22">
        <v>0</v>
      </c>
      <c r="AH290" s="20">
        <v>0</v>
      </c>
      <c r="AI290" s="20">
        <v>0</v>
      </c>
      <c r="AJ290" s="23">
        <v>0</v>
      </c>
      <c r="AK290" s="12">
        <v>0</v>
      </c>
      <c r="AL290" s="12">
        <v>0</v>
      </c>
      <c r="AM290" s="12">
        <v>832</v>
      </c>
      <c r="AN290" s="12">
        <v>81</v>
      </c>
      <c r="AO290" s="12">
        <v>0</v>
      </c>
    </row>
    <row r="291" spans="1:41" ht="15" x14ac:dyDescent="0.25">
      <c r="A291" s="13" t="s">
        <v>46</v>
      </c>
      <c r="B291" s="10">
        <v>767</v>
      </c>
      <c r="C291" s="10">
        <v>4536</v>
      </c>
      <c r="D291" s="10">
        <v>0</v>
      </c>
      <c r="E291" s="10">
        <v>0</v>
      </c>
      <c r="F291" s="10">
        <v>3000</v>
      </c>
      <c r="G291" s="10">
        <v>1764</v>
      </c>
      <c r="H291" s="2">
        <v>0</v>
      </c>
      <c r="I291" s="10">
        <v>0</v>
      </c>
      <c r="J291" s="10">
        <v>700</v>
      </c>
      <c r="K291" s="10">
        <v>3.5</v>
      </c>
      <c r="L291" s="10">
        <v>7000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24">
        <v>0</v>
      </c>
      <c r="AI291" s="24">
        <v>0</v>
      </c>
      <c r="AJ291" s="10">
        <v>0</v>
      </c>
      <c r="AK291" s="10">
        <v>0</v>
      </c>
      <c r="AL291" s="10">
        <v>0</v>
      </c>
      <c r="AM291" s="10">
        <v>490</v>
      </c>
      <c r="AN291" s="10">
        <v>161</v>
      </c>
      <c r="AO291" s="15">
        <v>13</v>
      </c>
    </row>
    <row r="292" spans="1:41" ht="15" x14ac:dyDescent="0.25">
      <c r="A292" s="13" t="s">
        <v>47</v>
      </c>
      <c r="B292" s="10">
        <v>0</v>
      </c>
      <c r="C292" s="10">
        <v>0</v>
      </c>
      <c r="D292" s="10">
        <v>0</v>
      </c>
      <c r="E292" s="10">
        <v>0</v>
      </c>
      <c r="F292" s="10">
        <v>7801</v>
      </c>
      <c r="G292" s="10">
        <v>0</v>
      </c>
      <c r="H292" s="2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24">
        <v>0</v>
      </c>
      <c r="AI292" s="24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224</v>
      </c>
      <c r="AO292" s="15">
        <v>3</v>
      </c>
    </row>
    <row r="293" spans="1:41" ht="15" x14ac:dyDescent="0.25">
      <c r="A293" s="14" t="s">
        <v>24</v>
      </c>
      <c r="B293" s="10">
        <f t="shared" ref="B293:K293" si="59">SUM(B288+B289-B290-B291-B292)</f>
        <v>90455</v>
      </c>
      <c r="C293" s="10">
        <f t="shared" si="59"/>
        <v>1779</v>
      </c>
      <c r="D293" s="10">
        <f t="shared" si="59"/>
        <v>60000</v>
      </c>
      <c r="E293" s="10">
        <f t="shared" si="59"/>
        <v>0</v>
      </c>
      <c r="F293" s="10">
        <f t="shared" si="59"/>
        <v>24501</v>
      </c>
      <c r="G293" s="10">
        <f t="shared" si="59"/>
        <v>13975</v>
      </c>
      <c r="H293" s="2">
        <f t="shared" si="59"/>
        <v>0</v>
      </c>
      <c r="I293" s="10">
        <f t="shared" si="59"/>
        <v>410</v>
      </c>
      <c r="J293" s="10">
        <f t="shared" si="59"/>
        <v>13700</v>
      </c>
      <c r="K293" s="10">
        <f t="shared" si="59"/>
        <v>42.848999999999997</v>
      </c>
      <c r="L293" s="10">
        <f>SUM(L288+L290+L291+L292)</f>
        <v>189050</v>
      </c>
      <c r="M293" s="10">
        <f>SUM(M288+M289+M290+M291+M292)</f>
        <v>171</v>
      </c>
      <c r="N293" s="10">
        <f>SUM(N288+N289-N290-N291-N292)</f>
        <v>0</v>
      </c>
      <c r="O293" s="10">
        <f>SUM(O288+O289-O290-O291-O292)</f>
        <v>87</v>
      </c>
      <c r="P293" s="10">
        <f>SUM(P288+P289+P290+P292)</f>
        <v>49288</v>
      </c>
      <c r="Q293" s="10">
        <f>SUM(Q288-Q289+Q290+Q291+Q292)</f>
        <v>4107</v>
      </c>
      <c r="R293" s="10">
        <f>SUM(R288-R289+R290+R291+R292)</f>
        <v>152</v>
      </c>
      <c r="S293" s="10">
        <f>SUM(S288-S289+S290+S291+S292)</f>
        <v>816</v>
      </c>
      <c r="T293" s="10">
        <f>SUM(T288+T289+T290+T291+T292)</f>
        <v>51</v>
      </c>
      <c r="U293" s="10">
        <f>SUM(U288+U289-U290-U291-U292)</f>
        <v>71500</v>
      </c>
      <c r="V293" s="10">
        <f>SUM(V288+V289-V290-V291-V292)</f>
        <v>32</v>
      </c>
      <c r="W293" s="10">
        <f>SUM(W288+W289-W290-W291-W292)</f>
        <v>0</v>
      </c>
      <c r="X293" s="10">
        <f>SUM(X288+X289-X290-X291-X292)</f>
        <v>75</v>
      </c>
      <c r="Y293" s="10">
        <f>SUM(Y288+Y289+Y290+Y291+Y292)</f>
        <v>49085</v>
      </c>
      <c r="Z293" s="10">
        <f>SUM(Z288+Z289+Z290+Z291+Z292)</f>
        <v>4090</v>
      </c>
      <c r="AA293" s="10">
        <f>SUM(AA288+AA289+AA290+AA291+AA292)</f>
        <v>27</v>
      </c>
      <c r="AB293" s="10">
        <f>SUM(AB288-AB289+AB290+AB291+AB292)</f>
        <v>907</v>
      </c>
      <c r="AC293" s="10">
        <f t="shared" ref="AC293:AL293" si="60">SUM(AC288+AC289-AC290-AC291-AC292)</f>
        <v>51</v>
      </c>
      <c r="AD293" s="10">
        <f t="shared" si="60"/>
        <v>117450</v>
      </c>
      <c r="AE293" s="10">
        <f t="shared" si="60"/>
        <v>129</v>
      </c>
      <c r="AF293" s="10">
        <f t="shared" si="60"/>
        <v>0</v>
      </c>
      <c r="AG293" s="10">
        <f t="shared" si="60"/>
        <v>0</v>
      </c>
      <c r="AH293" s="10">
        <f t="shared" si="60"/>
        <v>0</v>
      </c>
      <c r="AI293" s="10">
        <f t="shared" si="60"/>
        <v>0</v>
      </c>
      <c r="AJ293" s="10">
        <f t="shared" si="60"/>
        <v>0</v>
      </c>
      <c r="AK293" s="10">
        <f t="shared" si="60"/>
        <v>0</v>
      </c>
      <c r="AL293" s="10">
        <f t="shared" si="60"/>
        <v>24</v>
      </c>
      <c r="AM293" s="10">
        <f>SUM(AM288-AM289+AM290+AM291+AM292)</f>
        <v>7463</v>
      </c>
      <c r="AN293" s="10">
        <f>SUM(AN288-AN289+AN290+AN291+AN292)</f>
        <v>873</v>
      </c>
      <c r="AO293" s="10">
        <f>SUM(AO288-AO289+AO290+AO291+AO292)</f>
        <v>54</v>
      </c>
    </row>
    <row r="296" spans="1:41" ht="18.75" x14ac:dyDescent="0.3">
      <c r="A296" s="16">
        <v>45971</v>
      </c>
      <c r="B296" s="27" t="s">
        <v>26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 t="s">
        <v>29</v>
      </c>
      <c r="M296" s="27"/>
      <c r="N296" s="27"/>
      <c r="O296" s="27"/>
      <c r="P296" s="27"/>
      <c r="Q296" s="27"/>
      <c r="R296" s="27"/>
      <c r="S296" s="27"/>
      <c r="T296" s="27"/>
      <c r="U296" s="27" t="s">
        <v>28</v>
      </c>
      <c r="V296" s="27"/>
      <c r="W296" s="27"/>
      <c r="X296" s="27"/>
      <c r="Y296" s="27"/>
      <c r="Z296" s="27"/>
      <c r="AA296" s="27"/>
      <c r="AB296" s="27"/>
      <c r="AC296" s="27"/>
      <c r="AD296" s="27" t="s">
        <v>27</v>
      </c>
      <c r="AE296" s="27"/>
      <c r="AF296" s="27"/>
      <c r="AG296" s="27"/>
      <c r="AH296" s="27"/>
      <c r="AI296" s="27"/>
      <c r="AJ296" s="27"/>
      <c r="AK296" s="27"/>
      <c r="AL296" s="27"/>
      <c r="AM296" s="27" t="s">
        <v>25</v>
      </c>
      <c r="AN296" s="27"/>
      <c r="AO296" s="27"/>
    </row>
    <row r="297" spans="1:41" ht="15" x14ac:dyDescent="0.25">
      <c r="A297" s="5" t="s">
        <v>74</v>
      </c>
      <c r="B297" s="1" t="s">
        <v>0</v>
      </c>
      <c r="C297" s="1" t="s">
        <v>1</v>
      </c>
      <c r="D297" s="1" t="s">
        <v>2</v>
      </c>
      <c r="E297" s="1" t="s">
        <v>3</v>
      </c>
      <c r="F297" s="1" t="s">
        <v>4</v>
      </c>
      <c r="G297" s="1" t="s">
        <v>5</v>
      </c>
      <c r="H297" s="1" t="s">
        <v>33</v>
      </c>
      <c r="I297" s="1" t="s">
        <v>6</v>
      </c>
      <c r="J297" s="1" t="s">
        <v>7</v>
      </c>
      <c r="K297" s="1" t="s">
        <v>8</v>
      </c>
      <c r="L297" s="1" t="s">
        <v>9</v>
      </c>
      <c r="M297" s="1" t="s">
        <v>30</v>
      </c>
      <c r="N297" s="1" t="s">
        <v>10</v>
      </c>
      <c r="O297" s="1" t="s">
        <v>11</v>
      </c>
      <c r="P297" s="1" t="s">
        <v>32</v>
      </c>
      <c r="Q297" s="1" t="s">
        <v>37</v>
      </c>
      <c r="R297" s="1" t="s">
        <v>31</v>
      </c>
      <c r="S297" s="6" t="s">
        <v>12</v>
      </c>
      <c r="T297" s="6" t="s">
        <v>13</v>
      </c>
      <c r="U297" s="6" t="s">
        <v>14</v>
      </c>
      <c r="V297" s="1" t="s">
        <v>30</v>
      </c>
      <c r="W297" s="6" t="s">
        <v>10</v>
      </c>
      <c r="X297" s="6" t="s">
        <v>15</v>
      </c>
      <c r="Y297" s="1" t="s">
        <v>32</v>
      </c>
      <c r="Z297" s="1" t="s">
        <v>37</v>
      </c>
      <c r="AA297" s="1" t="s">
        <v>31</v>
      </c>
      <c r="AB297" s="1" t="s">
        <v>12</v>
      </c>
      <c r="AC297" s="1" t="s">
        <v>13</v>
      </c>
      <c r="AD297" s="1" t="s">
        <v>9</v>
      </c>
      <c r="AE297" s="1" t="s">
        <v>30</v>
      </c>
      <c r="AF297" s="1" t="s">
        <v>10</v>
      </c>
      <c r="AG297" s="1" t="s">
        <v>11</v>
      </c>
      <c r="AH297" s="18" t="s">
        <v>32</v>
      </c>
      <c r="AI297" s="18" t="s">
        <v>37</v>
      </c>
      <c r="AJ297" s="1" t="s">
        <v>44</v>
      </c>
      <c r="AK297" s="7" t="s">
        <v>16</v>
      </c>
      <c r="AL297" s="8" t="s">
        <v>13</v>
      </c>
      <c r="AM297" s="1" t="s">
        <v>17</v>
      </c>
      <c r="AN297" s="8" t="s">
        <v>57</v>
      </c>
      <c r="AO297" s="8" t="s">
        <v>19</v>
      </c>
    </row>
    <row r="298" spans="1:41" ht="15" x14ac:dyDescent="0.25">
      <c r="A298" s="9" t="s">
        <v>20</v>
      </c>
      <c r="B298" s="10">
        <v>90455</v>
      </c>
      <c r="C298" s="10">
        <v>1779</v>
      </c>
      <c r="D298" s="10">
        <v>60000</v>
      </c>
      <c r="E298" s="10">
        <v>0</v>
      </c>
      <c r="F298" s="10">
        <v>24501</v>
      </c>
      <c r="G298" s="10">
        <v>13975</v>
      </c>
      <c r="H298" s="3">
        <v>0</v>
      </c>
      <c r="I298" s="25">
        <v>410</v>
      </c>
      <c r="J298" s="10">
        <v>13700</v>
      </c>
      <c r="K298" s="10">
        <v>42.848999999999997</v>
      </c>
      <c r="L298" s="10">
        <v>189050</v>
      </c>
      <c r="M298" s="10">
        <v>171</v>
      </c>
      <c r="N298" s="10">
        <v>0</v>
      </c>
      <c r="O298" s="10">
        <v>87</v>
      </c>
      <c r="P298" s="10">
        <v>49288</v>
      </c>
      <c r="Q298" s="10">
        <v>4107</v>
      </c>
      <c r="R298" s="10">
        <v>152</v>
      </c>
      <c r="S298" s="10">
        <v>816</v>
      </c>
      <c r="T298" s="10">
        <v>51</v>
      </c>
      <c r="U298" s="10">
        <v>71500</v>
      </c>
      <c r="V298" s="10">
        <v>32</v>
      </c>
      <c r="W298" s="10">
        <v>0</v>
      </c>
      <c r="X298" s="10">
        <v>75</v>
      </c>
      <c r="Y298" s="10">
        <v>49085</v>
      </c>
      <c r="Z298" s="10">
        <v>4090</v>
      </c>
      <c r="AA298" s="10">
        <v>27</v>
      </c>
      <c r="AB298" s="10">
        <v>907</v>
      </c>
      <c r="AC298" s="10">
        <v>51</v>
      </c>
      <c r="AD298" s="10">
        <v>117450</v>
      </c>
      <c r="AE298" s="10">
        <v>129</v>
      </c>
      <c r="AF298" s="10">
        <v>0</v>
      </c>
      <c r="AG298" s="19">
        <v>0</v>
      </c>
      <c r="AH298" s="20">
        <v>0</v>
      </c>
      <c r="AI298" s="20">
        <v>0</v>
      </c>
      <c r="AJ298" s="21">
        <v>0</v>
      </c>
      <c r="AK298" s="10">
        <v>0</v>
      </c>
      <c r="AL298" s="10">
        <v>24</v>
      </c>
      <c r="AM298" s="10">
        <v>7463</v>
      </c>
      <c r="AN298" s="10">
        <v>873</v>
      </c>
      <c r="AO298" s="10">
        <v>54</v>
      </c>
    </row>
    <row r="299" spans="1:41" ht="15" x14ac:dyDescent="0.25">
      <c r="A299" s="9" t="s">
        <v>21</v>
      </c>
      <c r="B299" s="10">
        <v>0</v>
      </c>
      <c r="C299" s="10">
        <f>SUM(4898-548-35+6440-1510-160+6239-1260-151)</f>
        <v>13913</v>
      </c>
      <c r="D299" s="10">
        <v>0</v>
      </c>
      <c r="E299" s="10">
        <v>0</v>
      </c>
      <c r="F299" s="10">
        <v>0</v>
      </c>
      <c r="G299" s="10">
        <f>SUM(694-13)</f>
        <v>681</v>
      </c>
      <c r="H299" s="2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f>SUM(618*25)</f>
        <v>15450</v>
      </c>
      <c r="AE299" s="10">
        <v>0</v>
      </c>
      <c r="AF299" s="10">
        <v>0</v>
      </c>
      <c r="AG299" s="19">
        <v>0</v>
      </c>
      <c r="AH299" s="20">
        <v>0</v>
      </c>
      <c r="AI299" s="20">
        <v>0</v>
      </c>
      <c r="AJ299" s="21">
        <v>0</v>
      </c>
      <c r="AK299" s="10">
        <v>0</v>
      </c>
      <c r="AL299" s="10">
        <v>0</v>
      </c>
      <c r="AM299" s="10">
        <v>6040</v>
      </c>
      <c r="AN299" s="10">
        <v>0</v>
      </c>
      <c r="AO299" s="10">
        <v>0</v>
      </c>
    </row>
    <row r="300" spans="1:41" ht="15" x14ac:dyDescent="0.25">
      <c r="A300" s="11" t="s">
        <v>22</v>
      </c>
      <c r="B300" s="12">
        <v>4898</v>
      </c>
      <c r="C300" s="17">
        <v>0</v>
      </c>
      <c r="D300" s="12">
        <v>0</v>
      </c>
      <c r="E300" s="12">
        <v>0</v>
      </c>
      <c r="F300" s="12">
        <v>694</v>
      </c>
      <c r="G300" s="12">
        <v>0</v>
      </c>
      <c r="H300" s="4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0">
        <v>0</v>
      </c>
      <c r="Q300" s="10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22">
        <v>0</v>
      </c>
      <c r="AH300" s="20">
        <v>0</v>
      </c>
      <c r="AI300" s="20">
        <v>0</v>
      </c>
      <c r="AJ300" s="23">
        <v>0</v>
      </c>
      <c r="AK300" s="12">
        <v>0</v>
      </c>
      <c r="AL300" s="12">
        <v>0</v>
      </c>
      <c r="AM300" s="12">
        <v>548</v>
      </c>
      <c r="AN300" s="12">
        <v>48</v>
      </c>
      <c r="AO300" s="12">
        <v>0</v>
      </c>
    </row>
    <row r="301" spans="1:41" ht="15" x14ac:dyDescent="0.25">
      <c r="A301" s="13" t="s">
        <v>46</v>
      </c>
      <c r="B301" s="10">
        <v>6440</v>
      </c>
      <c r="C301" s="10">
        <v>9720</v>
      </c>
      <c r="D301" s="10">
        <v>0</v>
      </c>
      <c r="E301" s="10">
        <v>0</v>
      </c>
      <c r="F301" s="10">
        <v>0</v>
      </c>
      <c r="G301" s="10">
        <v>3780</v>
      </c>
      <c r="H301" s="2">
        <v>0</v>
      </c>
      <c r="I301" s="10">
        <v>0</v>
      </c>
      <c r="J301" s="10">
        <v>1500</v>
      </c>
      <c r="K301" s="10">
        <v>7.5</v>
      </c>
      <c r="L301" s="10">
        <v>12450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24">
        <v>0</v>
      </c>
      <c r="AI301" s="24">
        <v>0</v>
      </c>
      <c r="AJ301" s="10">
        <v>0</v>
      </c>
      <c r="AK301" s="10">
        <v>0</v>
      </c>
      <c r="AL301" s="10">
        <v>0</v>
      </c>
      <c r="AM301" s="10">
        <v>1510</v>
      </c>
      <c r="AN301" s="10">
        <v>160</v>
      </c>
      <c r="AO301" s="15">
        <v>33</v>
      </c>
    </row>
    <row r="302" spans="1:41" ht="15" x14ac:dyDescent="0.25">
      <c r="A302" s="13" t="s">
        <v>47</v>
      </c>
      <c r="B302" s="10">
        <v>6239</v>
      </c>
      <c r="C302" s="10">
        <v>1944</v>
      </c>
      <c r="D302" s="10">
        <v>0</v>
      </c>
      <c r="E302" s="10">
        <v>0</v>
      </c>
      <c r="F302" s="10">
        <v>0</v>
      </c>
      <c r="G302" s="10">
        <v>756</v>
      </c>
      <c r="H302" s="2">
        <v>0</v>
      </c>
      <c r="I302" s="10">
        <v>0</v>
      </c>
      <c r="J302" s="10">
        <v>300</v>
      </c>
      <c r="K302" s="10">
        <v>1.5</v>
      </c>
      <c r="L302" s="10">
        <v>3000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24">
        <v>0</v>
      </c>
      <c r="AI302" s="24">
        <v>0</v>
      </c>
      <c r="AJ302" s="10">
        <v>0</v>
      </c>
      <c r="AK302" s="10">
        <v>0</v>
      </c>
      <c r="AL302" s="10">
        <v>0</v>
      </c>
      <c r="AM302" s="10">
        <v>1260</v>
      </c>
      <c r="AN302" s="10">
        <v>151</v>
      </c>
      <c r="AO302" s="15">
        <v>3</v>
      </c>
    </row>
    <row r="303" spans="1:41" ht="15" x14ac:dyDescent="0.25">
      <c r="A303" s="14" t="s">
        <v>24</v>
      </c>
      <c r="B303" s="10">
        <f t="shared" ref="B303:K303" si="61">SUM(B298+B299-B300-B301-B302)</f>
        <v>72878</v>
      </c>
      <c r="C303" s="10">
        <f t="shared" si="61"/>
        <v>4028</v>
      </c>
      <c r="D303" s="10">
        <f t="shared" si="61"/>
        <v>60000</v>
      </c>
      <c r="E303" s="10">
        <f t="shared" si="61"/>
        <v>0</v>
      </c>
      <c r="F303" s="10">
        <f t="shared" si="61"/>
        <v>23807</v>
      </c>
      <c r="G303" s="10">
        <f t="shared" si="61"/>
        <v>10120</v>
      </c>
      <c r="H303" s="2">
        <f t="shared" si="61"/>
        <v>0</v>
      </c>
      <c r="I303" s="10">
        <f t="shared" si="61"/>
        <v>410</v>
      </c>
      <c r="J303" s="10">
        <f t="shared" si="61"/>
        <v>11900</v>
      </c>
      <c r="K303" s="10">
        <f t="shared" si="61"/>
        <v>33.848999999999997</v>
      </c>
      <c r="L303" s="10">
        <f>SUM(L298+L300+L301+L302)</f>
        <v>204500</v>
      </c>
      <c r="M303" s="10">
        <f>SUM(M298+M299+M300+M301+M302)</f>
        <v>171</v>
      </c>
      <c r="N303" s="10">
        <f>SUM(N298+N299-N300-N301-N302)</f>
        <v>0</v>
      </c>
      <c r="O303" s="10">
        <f>SUM(O298+O299-O300-O301-O302)</f>
        <v>87</v>
      </c>
      <c r="P303" s="10">
        <f>SUM(P298+P299+P300+P302)</f>
        <v>49288</v>
      </c>
      <c r="Q303" s="10">
        <f>SUM(Q298-Q299+Q300+Q301+Q302)</f>
        <v>4107</v>
      </c>
      <c r="R303" s="10">
        <f>SUM(R298-R299+R300+R301+R302)</f>
        <v>152</v>
      </c>
      <c r="S303" s="10">
        <f>SUM(S298-S299+S300+S301+S302)</f>
        <v>816</v>
      </c>
      <c r="T303" s="10">
        <f>SUM(T298+T299+T300+T301+T302)</f>
        <v>51</v>
      </c>
      <c r="U303" s="10">
        <f>SUM(U298+U299-U300-U301-U302)</f>
        <v>71500</v>
      </c>
      <c r="V303" s="10">
        <f>SUM(V298+V299-V300-V301-V302)</f>
        <v>32</v>
      </c>
      <c r="W303" s="10">
        <f>SUM(W298+W299-W300-W301-W302)</f>
        <v>0</v>
      </c>
      <c r="X303" s="10">
        <f>SUM(X298+X299-X300-X301-X302)</f>
        <v>75</v>
      </c>
      <c r="Y303" s="10">
        <f>SUM(Y298+Y299+Y300+Y301+Y302)</f>
        <v>49085</v>
      </c>
      <c r="Z303" s="10">
        <f>SUM(Z298+Z299+Z300+Z301+Z302)</f>
        <v>4090</v>
      </c>
      <c r="AA303" s="10">
        <f>SUM(AA298+AA299+AA300+AA301+AA302)</f>
        <v>27</v>
      </c>
      <c r="AB303" s="10">
        <f>SUM(AB298-AB299+AB300+AB301+AB302)</f>
        <v>907</v>
      </c>
      <c r="AC303" s="10">
        <f t="shared" ref="AC303:AL303" si="62">SUM(AC298+AC299-AC300-AC301-AC302)</f>
        <v>51</v>
      </c>
      <c r="AD303" s="10">
        <f t="shared" si="62"/>
        <v>132900</v>
      </c>
      <c r="AE303" s="10">
        <f t="shared" si="62"/>
        <v>129</v>
      </c>
      <c r="AF303" s="10">
        <f t="shared" si="62"/>
        <v>0</v>
      </c>
      <c r="AG303" s="10">
        <f t="shared" si="62"/>
        <v>0</v>
      </c>
      <c r="AH303" s="10">
        <f t="shared" si="62"/>
        <v>0</v>
      </c>
      <c r="AI303" s="10">
        <f t="shared" si="62"/>
        <v>0</v>
      </c>
      <c r="AJ303" s="10">
        <f t="shared" si="62"/>
        <v>0</v>
      </c>
      <c r="AK303" s="10">
        <f t="shared" si="62"/>
        <v>0</v>
      </c>
      <c r="AL303" s="10">
        <f t="shared" si="62"/>
        <v>24</v>
      </c>
      <c r="AM303" s="10">
        <f>SUM(AM298-AM299+AM300+AM301+AM302)</f>
        <v>4741</v>
      </c>
      <c r="AN303" s="10">
        <f>SUM(AN298-AN299+AN300+AN301+AN302)</f>
        <v>1232</v>
      </c>
      <c r="AO303" s="10">
        <f>SUM(AO298-AO299+AO300+AO301+AO302)</f>
        <v>90</v>
      </c>
    </row>
    <row r="306" spans="1:41" ht="18.75" x14ac:dyDescent="0.3">
      <c r="A306" s="16" t="s">
        <v>58</v>
      </c>
      <c r="B306" s="27" t="s">
        <v>26</v>
      </c>
      <c r="C306" s="27"/>
      <c r="D306" s="27"/>
      <c r="E306" s="27"/>
      <c r="F306" s="27"/>
      <c r="G306" s="27"/>
      <c r="H306" s="27"/>
      <c r="I306" s="27"/>
      <c r="J306" s="27"/>
      <c r="K306" s="27"/>
      <c r="L306" s="27" t="s">
        <v>29</v>
      </c>
      <c r="M306" s="27"/>
      <c r="N306" s="27"/>
      <c r="O306" s="27"/>
      <c r="P306" s="27"/>
      <c r="Q306" s="27"/>
      <c r="R306" s="27"/>
      <c r="S306" s="27"/>
      <c r="T306" s="27"/>
      <c r="U306" s="27" t="s">
        <v>28</v>
      </c>
      <c r="V306" s="27"/>
      <c r="W306" s="27"/>
      <c r="X306" s="27"/>
      <c r="Y306" s="27"/>
      <c r="Z306" s="27"/>
      <c r="AA306" s="27"/>
      <c r="AB306" s="27"/>
      <c r="AC306" s="27"/>
      <c r="AD306" s="27" t="s">
        <v>27</v>
      </c>
      <c r="AE306" s="27"/>
      <c r="AF306" s="27"/>
      <c r="AG306" s="27"/>
      <c r="AH306" s="27"/>
      <c r="AI306" s="27"/>
      <c r="AJ306" s="27"/>
      <c r="AK306" s="27"/>
      <c r="AL306" s="27"/>
      <c r="AM306" s="27" t="s">
        <v>25</v>
      </c>
      <c r="AN306" s="27"/>
      <c r="AO306" s="27"/>
    </row>
    <row r="307" spans="1:41" ht="15" x14ac:dyDescent="0.25">
      <c r="A307" s="5" t="s">
        <v>74</v>
      </c>
      <c r="B307" s="1" t="s">
        <v>0</v>
      </c>
      <c r="C307" s="1" t="s">
        <v>1</v>
      </c>
      <c r="D307" s="1" t="s">
        <v>2</v>
      </c>
      <c r="E307" s="1" t="s">
        <v>3</v>
      </c>
      <c r="F307" s="1" t="s">
        <v>4</v>
      </c>
      <c r="G307" s="1" t="s">
        <v>5</v>
      </c>
      <c r="H307" s="1" t="s">
        <v>33</v>
      </c>
      <c r="I307" s="1" t="s">
        <v>6</v>
      </c>
      <c r="J307" s="1" t="s">
        <v>7</v>
      </c>
      <c r="K307" s="1" t="s">
        <v>8</v>
      </c>
      <c r="L307" s="1" t="s">
        <v>9</v>
      </c>
      <c r="M307" s="1" t="s">
        <v>30</v>
      </c>
      <c r="N307" s="1" t="s">
        <v>10</v>
      </c>
      <c r="O307" s="1" t="s">
        <v>11</v>
      </c>
      <c r="P307" s="1" t="s">
        <v>32</v>
      </c>
      <c r="Q307" s="1" t="s">
        <v>37</v>
      </c>
      <c r="R307" s="1" t="s">
        <v>31</v>
      </c>
      <c r="S307" s="6" t="s">
        <v>12</v>
      </c>
      <c r="T307" s="6" t="s">
        <v>13</v>
      </c>
      <c r="U307" s="6" t="s">
        <v>14</v>
      </c>
      <c r="V307" s="1" t="s">
        <v>30</v>
      </c>
      <c r="W307" s="6" t="s">
        <v>10</v>
      </c>
      <c r="X307" s="6" t="s">
        <v>15</v>
      </c>
      <c r="Y307" s="1" t="s">
        <v>32</v>
      </c>
      <c r="Z307" s="1" t="s">
        <v>37</v>
      </c>
      <c r="AA307" s="1" t="s">
        <v>31</v>
      </c>
      <c r="AB307" s="1" t="s">
        <v>12</v>
      </c>
      <c r="AC307" s="1" t="s">
        <v>13</v>
      </c>
      <c r="AD307" s="1" t="s">
        <v>9</v>
      </c>
      <c r="AE307" s="1" t="s">
        <v>30</v>
      </c>
      <c r="AF307" s="1" t="s">
        <v>10</v>
      </c>
      <c r="AG307" s="1" t="s">
        <v>11</v>
      </c>
      <c r="AH307" s="18" t="s">
        <v>32</v>
      </c>
      <c r="AI307" s="18" t="s">
        <v>37</v>
      </c>
      <c r="AJ307" s="1" t="s">
        <v>44</v>
      </c>
      <c r="AK307" s="7" t="s">
        <v>16</v>
      </c>
      <c r="AL307" s="8" t="s">
        <v>13</v>
      </c>
      <c r="AM307" s="1" t="s">
        <v>17</v>
      </c>
      <c r="AN307" s="8" t="s">
        <v>57</v>
      </c>
      <c r="AO307" s="8" t="s">
        <v>19</v>
      </c>
    </row>
    <row r="308" spans="1:41" ht="15" x14ac:dyDescent="0.25">
      <c r="A308" s="9" t="s">
        <v>20</v>
      </c>
      <c r="B308" s="10">
        <v>72878</v>
      </c>
      <c r="C308" s="10">
        <v>4028</v>
      </c>
      <c r="D308" s="10">
        <v>60000</v>
      </c>
      <c r="E308" s="10">
        <v>0</v>
      </c>
      <c r="F308" s="10">
        <v>23807</v>
      </c>
      <c r="G308" s="10">
        <v>10120</v>
      </c>
      <c r="H308" s="3">
        <v>0</v>
      </c>
      <c r="I308" s="25">
        <v>410</v>
      </c>
      <c r="J308" s="10">
        <v>11900</v>
      </c>
      <c r="K308" s="10">
        <v>42.848999999999997</v>
      </c>
      <c r="L308" s="10">
        <v>204500</v>
      </c>
      <c r="M308" s="10">
        <v>171</v>
      </c>
      <c r="N308" s="10">
        <v>0</v>
      </c>
      <c r="O308" s="10">
        <v>87</v>
      </c>
      <c r="P308" s="10">
        <v>49288</v>
      </c>
      <c r="Q308" s="10">
        <v>4107</v>
      </c>
      <c r="R308" s="10">
        <v>152</v>
      </c>
      <c r="S308" s="10">
        <v>816</v>
      </c>
      <c r="T308" s="10">
        <v>51</v>
      </c>
      <c r="U308" s="10">
        <v>71500</v>
      </c>
      <c r="V308" s="10">
        <v>32</v>
      </c>
      <c r="W308" s="10">
        <v>0</v>
      </c>
      <c r="X308" s="10">
        <v>75</v>
      </c>
      <c r="Y308" s="10">
        <v>49085</v>
      </c>
      <c r="Z308" s="10">
        <v>4090</v>
      </c>
      <c r="AA308" s="10">
        <v>27</v>
      </c>
      <c r="AB308" s="10">
        <v>907</v>
      </c>
      <c r="AC308" s="10">
        <v>51</v>
      </c>
      <c r="AD308" s="10">
        <v>132900</v>
      </c>
      <c r="AE308" s="10">
        <v>129</v>
      </c>
      <c r="AF308" s="10">
        <v>0</v>
      </c>
      <c r="AG308" s="19">
        <v>0</v>
      </c>
      <c r="AH308" s="20">
        <v>0</v>
      </c>
      <c r="AI308" s="20">
        <v>0</v>
      </c>
      <c r="AJ308" s="21">
        <v>0</v>
      </c>
      <c r="AK308" s="10">
        <v>0</v>
      </c>
      <c r="AL308" s="10">
        <v>24</v>
      </c>
      <c r="AM308" s="10">
        <v>4741</v>
      </c>
      <c r="AN308" s="10">
        <v>1232</v>
      </c>
      <c r="AO308" s="10">
        <v>90</v>
      </c>
    </row>
    <row r="309" spans="1:41" ht="15" x14ac:dyDescent="0.25">
      <c r="A309" s="9" t="s">
        <v>21</v>
      </c>
      <c r="B309" s="10">
        <v>28820</v>
      </c>
      <c r="C309" s="10">
        <f>SUM(5679-500-65+8532-1415-220+4433-840-85)</f>
        <v>15519</v>
      </c>
      <c r="D309" s="10">
        <v>0</v>
      </c>
      <c r="E309" s="10">
        <v>0</v>
      </c>
      <c r="F309" s="10">
        <v>0</v>
      </c>
      <c r="G309" s="10">
        <f>SUM(3307-36-100)</f>
        <v>3171</v>
      </c>
      <c r="H309" s="2">
        <v>0</v>
      </c>
      <c r="I309" s="10">
        <v>0</v>
      </c>
      <c r="J309" s="10">
        <v>5000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f>SUM(732*25)</f>
        <v>18300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f>SUM(12025+6125+9075)</f>
        <v>27225</v>
      </c>
      <c r="AE309" s="10">
        <v>0</v>
      </c>
      <c r="AF309" s="10">
        <v>0</v>
      </c>
      <c r="AG309" s="19">
        <v>0</v>
      </c>
      <c r="AH309" s="20">
        <v>0</v>
      </c>
      <c r="AI309" s="20">
        <v>0</v>
      </c>
      <c r="AJ309" s="21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</row>
    <row r="310" spans="1:41" ht="15" x14ac:dyDescent="0.25">
      <c r="A310" s="11" t="s">
        <v>22</v>
      </c>
      <c r="B310" s="12">
        <v>5679</v>
      </c>
      <c r="C310" s="17">
        <v>7776</v>
      </c>
      <c r="D310" s="12">
        <v>0</v>
      </c>
      <c r="E310" s="12">
        <v>0</v>
      </c>
      <c r="F310" s="12">
        <v>0</v>
      </c>
      <c r="G310" s="12">
        <v>3024</v>
      </c>
      <c r="H310" s="4">
        <v>0</v>
      </c>
      <c r="I310" s="12">
        <v>0</v>
      </c>
      <c r="J310" s="12">
        <v>1200</v>
      </c>
      <c r="K310" s="12">
        <v>6</v>
      </c>
      <c r="L310" s="12">
        <v>12025</v>
      </c>
      <c r="M310" s="12">
        <v>0</v>
      </c>
      <c r="N310" s="12">
        <v>0</v>
      </c>
      <c r="O310" s="12">
        <v>0</v>
      </c>
      <c r="P310" s="10">
        <v>0</v>
      </c>
      <c r="Q310" s="10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f>SUM(732*25)</f>
        <v>18300</v>
      </c>
      <c r="AE310" s="12">
        <v>0</v>
      </c>
      <c r="AF310" s="12">
        <v>0</v>
      </c>
      <c r="AG310" s="22">
        <v>0</v>
      </c>
      <c r="AH310" s="20">
        <v>0</v>
      </c>
      <c r="AI310" s="20">
        <v>0</v>
      </c>
      <c r="AJ310" s="23">
        <v>0</v>
      </c>
      <c r="AK310" s="12">
        <v>0</v>
      </c>
      <c r="AL310" s="12">
        <v>0</v>
      </c>
      <c r="AM310" s="12">
        <v>500</v>
      </c>
      <c r="AN310" s="12">
        <v>65</v>
      </c>
      <c r="AO310" s="12">
        <v>11</v>
      </c>
    </row>
    <row r="311" spans="1:41" ht="15" x14ac:dyDescent="0.25">
      <c r="A311" s="13" t="s">
        <v>46</v>
      </c>
      <c r="B311" s="10">
        <v>8532</v>
      </c>
      <c r="C311" s="10">
        <v>3888</v>
      </c>
      <c r="D311" s="10">
        <v>0</v>
      </c>
      <c r="E311" s="10">
        <v>0</v>
      </c>
      <c r="F311" s="10">
        <v>0</v>
      </c>
      <c r="G311" s="10">
        <v>1512</v>
      </c>
      <c r="H311" s="2">
        <v>0</v>
      </c>
      <c r="I311" s="10">
        <v>0</v>
      </c>
      <c r="J311" s="10">
        <v>600</v>
      </c>
      <c r="K311" s="10">
        <v>3</v>
      </c>
      <c r="L311" s="10">
        <v>6125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24">
        <v>0</v>
      </c>
      <c r="AI311" s="24">
        <v>0</v>
      </c>
      <c r="AJ311" s="10">
        <v>0</v>
      </c>
      <c r="AK311" s="10">
        <v>0</v>
      </c>
      <c r="AL311" s="10">
        <v>0</v>
      </c>
      <c r="AM311" s="10">
        <v>1415</v>
      </c>
      <c r="AN311" s="10">
        <v>220</v>
      </c>
      <c r="AO311" s="15">
        <v>10</v>
      </c>
    </row>
    <row r="312" spans="1:41" ht="15" x14ac:dyDescent="0.25">
      <c r="A312" s="13" t="s">
        <v>47</v>
      </c>
      <c r="B312" s="10">
        <v>4433</v>
      </c>
      <c r="C312" s="10">
        <v>5832</v>
      </c>
      <c r="D312" s="10">
        <v>0</v>
      </c>
      <c r="E312" s="10">
        <v>0</v>
      </c>
      <c r="F312" s="10">
        <v>3307</v>
      </c>
      <c r="G312" s="10">
        <v>2268</v>
      </c>
      <c r="H312" s="2">
        <v>0</v>
      </c>
      <c r="I312" s="10">
        <v>0</v>
      </c>
      <c r="J312" s="10">
        <v>900</v>
      </c>
      <c r="K312" s="10">
        <v>4.5</v>
      </c>
      <c r="L312" s="10">
        <v>9075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24">
        <v>0</v>
      </c>
      <c r="AI312" s="24">
        <v>0</v>
      </c>
      <c r="AJ312" s="10">
        <v>0</v>
      </c>
      <c r="AK312" s="10">
        <v>0</v>
      </c>
      <c r="AL312" s="10">
        <v>0</v>
      </c>
      <c r="AM312" s="10">
        <v>840</v>
      </c>
      <c r="AN312" s="10">
        <f>85+SUM(36)</f>
        <v>121</v>
      </c>
      <c r="AO312" s="15">
        <v>18</v>
      </c>
    </row>
    <row r="313" spans="1:41" ht="15" x14ac:dyDescent="0.25">
      <c r="A313" s="14" t="s">
        <v>24</v>
      </c>
      <c r="B313" s="10">
        <f t="shared" ref="B313:K313" si="63">SUM(B308+B309-B310-B311-B312)</f>
        <v>83054</v>
      </c>
      <c r="C313" s="10">
        <f t="shared" si="63"/>
        <v>2051</v>
      </c>
      <c r="D313" s="10">
        <f t="shared" si="63"/>
        <v>60000</v>
      </c>
      <c r="E313" s="10">
        <f t="shared" si="63"/>
        <v>0</v>
      </c>
      <c r="F313" s="10">
        <f t="shared" si="63"/>
        <v>20500</v>
      </c>
      <c r="G313" s="10">
        <f t="shared" si="63"/>
        <v>6487</v>
      </c>
      <c r="H313" s="2">
        <f t="shared" si="63"/>
        <v>0</v>
      </c>
      <c r="I313" s="10">
        <f t="shared" si="63"/>
        <v>410</v>
      </c>
      <c r="J313" s="10">
        <f t="shared" si="63"/>
        <v>14200</v>
      </c>
      <c r="K313" s="10">
        <f t="shared" si="63"/>
        <v>29.348999999999997</v>
      </c>
      <c r="L313" s="10">
        <f>SUM(L308+L310+L311+L312)</f>
        <v>231725</v>
      </c>
      <c r="M313" s="10">
        <f>SUM(M308+M309+M310+M311+M312)</f>
        <v>171</v>
      </c>
      <c r="N313" s="10">
        <f>SUM(N308+N309-N310-N311-N312)</f>
        <v>0</v>
      </c>
      <c r="O313" s="10">
        <f>SUM(O308+O309-O310-O311-O312)</f>
        <v>87</v>
      </c>
      <c r="P313" s="10">
        <f>SUM(P308+P309+P310+P312)</f>
        <v>49288</v>
      </c>
      <c r="Q313" s="10">
        <f>SUM(Q308-Q309+Q310+Q311+Q312)</f>
        <v>4107</v>
      </c>
      <c r="R313" s="10">
        <f>SUM(R308-R309+R310+R311+R312)</f>
        <v>152</v>
      </c>
      <c r="S313" s="10">
        <f>SUM(S308-S309+S310+S311+S312)</f>
        <v>816</v>
      </c>
      <c r="T313" s="10">
        <f>SUM(T308+T309+T310+T311+T312)</f>
        <v>51</v>
      </c>
      <c r="U313" s="10">
        <f>SUM(U308+U309-U310-U311-U312)</f>
        <v>89800</v>
      </c>
      <c r="V313" s="10">
        <f>SUM(V308+V309-V310-V311-V312)</f>
        <v>32</v>
      </c>
      <c r="W313" s="10">
        <f>SUM(W308+W309-W310-W311-W312)</f>
        <v>0</v>
      </c>
      <c r="X313" s="10">
        <f>SUM(X308+X309-X310-X311-X312)</f>
        <v>75</v>
      </c>
      <c r="Y313" s="10">
        <f>SUM(Y308+Y309+Y310+Y311+Y312)</f>
        <v>49085</v>
      </c>
      <c r="Z313" s="10">
        <f>SUM(Z308+Z309+Z310+Z311+Z312)</f>
        <v>4090</v>
      </c>
      <c r="AA313" s="10">
        <f>SUM(AA308+AA309+AA310+AA311+AA312)</f>
        <v>27</v>
      </c>
      <c r="AB313" s="10">
        <f>SUM(AB308-AB309+AB310+AB311+AB312)</f>
        <v>907</v>
      </c>
      <c r="AC313" s="10">
        <f t="shared" ref="AC313:AL313" si="64">SUM(AC308+AC309-AC310-AC311-AC312)</f>
        <v>51</v>
      </c>
      <c r="AD313" s="10">
        <f t="shared" si="64"/>
        <v>141825</v>
      </c>
      <c r="AE313" s="10">
        <f t="shared" si="64"/>
        <v>129</v>
      </c>
      <c r="AF313" s="10">
        <f t="shared" si="64"/>
        <v>0</v>
      </c>
      <c r="AG313" s="10">
        <f t="shared" si="64"/>
        <v>0</v>
      </c>
      <c r="AH313" s="10">
        <f t="shared" si="64"/>
        <v>0</v>
      </c>
      <c r="AI313" s="10">
        <f t="shared" si="64"/>
        <v>0</v>
      </c>
      <c r="AJ313" s="10">
        <f t="shared" si="64"/>
        <v>0</v>
      </c>
      <c r="AK313" s="10">
        <f t="shared" si="64"/>
        <v>0</v>
      </c>
      <c r="AL313" s="10">
        <f t="shared" si="64"/>
        <v>24</v>
      </c>
      <c r="AM313" s="10">
        <f>SUM(AM308-AM309+AM310+AM311+AM312)</f>
        <v>7496</v>
      </c>
      <c r="AN313" s="10">
        <f>SUM(AN308-AN309+AN310+AN311+AN312)</f>
        <v>1638</v>
      </c>
      <c r="AO313" s="10">
        <f>SUM(AO308-AO309+AO310+AO311+AO312)</f>
        <v>129</v>
      </c>
    </row>
    <row r="316" spans="1:41" ht="18.75" x14ac:dyDescent="0.3">
      <c r="A316" s="16" t="s">
        <v>59</v>
      </c>
      <c r="B316" s="27" t="s">
        <v>26</v>
      </c>
      <c r="C316" s="27"/>
      <c r="D316" s="27"/>
      <c r="E316" s="27"/>
      <c r="F316" s="27"/>
      <c r="G316" s="27"/>
      <c r="H316" s="27"/>
      <c r="I316" s="27"/>
      <c r="J316" s="27"/>
      <c r="K316" s="27"/>
      <c r="L316" s="27" t="s">
        <v>29</v>
      </c>
      <c r="M316" s="27"/>
      <c r="N316" s="27"/>
      <c r="O316" s="27"/>
      <c r="P316" s="27"/>
      <c r="Q316" s="27"/>
      <c r="R316" s="27"/>
      <c r="S316" s="27"/>
      <c r="T316" s="27"/>
      <c r="U316" s="27" t="s">
        <v>28</v>
      </c>
      <c r="V316" s="27"/>
      <c r="W316" s="27"/>
      <c r="X316" s="27"/>
      <c r="Y316" s="27"/>
      <c r="Z316" s="27"/>
      <c r="AA316" s="27"/>
      <c r="AB316" s="27"/>
      <c r="AC316" s="27"/>
      <c r="AD316" s="27" t="s">
        <v>27</v>
      </c>
      <c r="AE316" s="27"/>
      <c r="AF316" s="27"/>
      <c r="AG316" s="27"/>
      <c r="AH316" s="27"/>
      <c r="AI316" s="27"/>
      <c r="AJ316" s="27"/>
      <c r="AK316" s="27"/>
      <c r="AL316" s="27"/>
      <c r="AM316" s="27" t="s">
        <v>25</v>
      </c>
      <c r="AN316" s="27"/>
      <c r="AO316" s="27"/>
    </row>
    <row r="317" spans="1:41" ht="15" x14ac:dyDescent="0.25">
      <c r="A317" s="5" t="s">
        <v>74</v>
      </c>
      <c r="B317" s="1" t="s">
        <v>0</v>
      </c>
      <c r="C317" s="1" t="s">
        <v>1</v>
      </c>
      <c r="D317" s="1" t="s">
        <v>2</v>
      </c>
      <c r="E317" s="1" t="s">
        <v>3</v>
      </c>
      <c r="F317" s="1" t="s">
        <v>4</v>
      </c>
      <c r="G317" s="1" t="s">
        <v>5</v>
      </c>
      <c r="H317" s="1" t="s">
        <v>33</v>
      </c>
      <c r="I317" s="1" t="s">
        <v>6</v>
      </c>
      <c r="J317" s="1" t="s">
        <v>7</v>
      </c>
      <c r="K317" s="1" t="s">
        <v>8</v>
      </c>
      <c r="L317" s="1" t="s">
        <v>9</v>
      </c>
      <c r="M317" s="1" t="s">
        <v>30</v>
      </c>
      <c r="N317" s="1" t="s">
        <v>10</v>
      </c>
      <c r="O317" s="1" t="s">
        <v>11</v>
      </c>
      <c r="P317" s="1" t="s">
        <v>32</v>
      </c>
      <c r="Q317" s="1" t="s">
        <v>37</v>
      </c>
      <c r="R317" s="1" t="s">
        <v>31</v>
      </c>
      <c r="S317" s="6" t="s">
        <v>12</v>
      </c>
      <c r="T317" s="6" t="s">
        <v>13</v>
      </c>
      <c r="U317" s="6" t="s">
        <v>14</v>
      </c>
      <c r="V317" s="1" t="s">
        <v>30</v>
      </c>
      <c r="W317" s="6" t="s">
        <v>10</v>
      </c>
      <c r="X317" s="6" t="s">
        <v>15</v>
      </c>
      <c r="Y317" s="1" t="s">
        <v>32</v>
      </c>
      <c r="Z317" s="1" t="s">
        <v>37</v>
      </c>
      <c r="AA317" s="1" t="s">
        <v>31</v>
      </c>
      <c r="AB317" s="1" t="s">
        <v>12</v>
      </c>
      <c r="AC317" s="1" t="s">
        <v>13</v>
      </c>
      <c r="AD317" s="1" t="s">
        <v>9</v>
      </c>
      <c r="AE317" s="1" t="s">
        <v>30</v>
      </c>
      <c r="AF317" s="1" t="s">
        <v>10</v>
      </c>
      <c r="AG317" s="1" t="s">
        <v>11</v>
      </c>
      <c r="AH317" s="18" t="s">
        <v>32</v>
      </c>
      <c r="AI317" s="18" t="s">
        <v>37</v>
      </c>
      <c r="AJ317" s="1" t="s">
        <v>44</v>
      </c>
      <c r="AK317" s="7" t="s">
        <v>16</v>
      </c>
      <c r="AL317" s="8" t="s">
        <v>13</v>
      </c>
      <c r="AM317" s="1" t="s">
        <v>17</v>
      </c>
      <c r="AN317" s="8" t="s">
        <v>57</v>
      </c>
      <c r="AO317" s="8" t="s">
        <v>19</v>
      </c>
    </row>
    <row r="318" spans="1:41" ht="16.149999999999999" customHeight="1" x14ac:dyDescent="0.25">
      <c r="A318" s="9" t="s">
        <v>20</v>
      </c>
      <c r="B318" s="10">
        <v>83054</v>
      </c>
      <c r="C318" s="10">
        <v>2051</v>
      </c>
      <c r="D318" s="10">
        <v>60000</v>
      </c>
      <c r="E318" s="10">
        <v>0</v>
      </c>
      <c r="F318" s="10">
        <v>20500</v>
      </c>
      <c r="G318" s="10">
        <v>6487</v>
      </c>
      <c r="H318" s="3">
        <v>0</v>
      </c>
      <c r="I318" s="25">
        <v>410</v>
      </c>
      <c r="J318" s="10">
        <v>14200</v>
      </c>
      <c r="K318" s="10">
        <v>29.349</v>
      </c>
      <c r="L318" s="10">
        <v>231725</v>
      </c>
      <c r="M318" s="10">
        <v>171</v>
      </c>
      <c r="N318" s="10">
        <v>0</v>
      </c>
      <c r="O318" s="10">
        <v>87</v>
      </c>
      <c r="P318" s="10">
        <v>49288</v>
      </c>
      <c r="Q318" s="10">
        <v>4107</v>
      </c>
      <c r="R318" s="10">
        <v>152</v>
      </c>
      <c r="S318" s="10">
        <v>816</v>
      </c>
      <c r="T318" s="10">
        <v>51</v>
      </c>
      <c r="U318" s="10">
        <v>89800</v>
      </c>
      <c r="V318" s="10">
        <v>32</v>
      </c>
      <c r="W318" s="10">
        <v>0</v>
      </c>
      <c r="X318" s="10">
        <v>75</v>
      </c>
      <c r="Y318" s="10">
        <v>49085</v>
      </c>
      <c r="Z318" s="10">
        <v>4090</v>
      </c>
      <c r="AA318" s="10">
        <v>27</v>
      </c>
      <c r="AB318" s="10">
        <v>907</v>
      </c>
      <c r="AC318" s="10">
        <v>51</v>
      </c>
      <c r="AD318" s="10">
        <v>141825</v>
      </c>
      <c r="AE318" s="10">
        <v>129</v>
      </c>
      <c r="AF318" s="10">
        <v>0</v>
      </c>
      <c r="AG318" s="19">
        <v>0</v>
      </c>
      <c r="AH318" s="20">
        <v>0</v>
      </c>
      <c r="AI318" s="20">
        <v>0</v>
      </c>
      <c r="AJ318" s="21">
        <v>0</v>
      </c>
      <c r="AK318" s="10">
        <v>0</v>
      </c>
      <c r="AL318" s="10">
        <v>24</v>
      </c>
      <c r="AM318" s="10">
        <v>7496</v>
      </c>
      <c r="AN318" s="10">
        <v>1638</v>
      </c>
      <c r="AO318" s="10">
        <v>129</v>
      </c>
    </row>
    <row r="319" spans="1:41" ht="15" x14ac:dyDescent="0.25">
      <c r="A319" s="9" t="s">
        <v>21</v>
      </c>
      <c r="B319" s="10">
        <v>27140</v>
      </c>
      <c r="C319" s="10">
        <f>0+SUM(6078-1150-153+7266-1185-137+5948-1411-128-150+3000)</f>
        <v>17978</v>
      </c>
      <c r="D319" s="10">
        <v>0</v>
      </c>
      <c r="E319" s="10">
        <v>0</v>
      </c>
      <c r="F319" s="10">
        <v>0</v>
      </c>
      <c r="G319" s="10">
        <f>2800+SUM(2600+2480-32-100)</f>
        <v>7748</v>
      </c>
      <c r="H319" s="2">
        <v>0</v>
      </c>
      <c r="I319" s="10">
        <v>0</v>
      </c>
      <c r="J319" s="10">
        <v>0</v>
      </c>
      <c r="K319" s="10">
        <v>225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f>SUM(426*25)</f>
        <v>10650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f>10025+SUM(10100+6075)</f>
        <v>26200</v>
      </c>
      <c r="AE319" s="10">
        <v>0</v>
      </c>
      <c r="AF319" s="10">
        <v>0</v>
      </c>
      <c r="AG319" s="19">
        <v>0</v>
      </c>
      <c r="AH319" s="20">
        <v>0</v>
      </c>
      <c r="AI319" s="20">
        <v>0</v>
      </c>
      <c r="AJ319" s="21">
        <v>0</v>
      </c>
      <c r="AK319" s="10">
        <v>0</v>
      </c>
      <c r="AL319" s="10">
        <v>0</v>
      </c>
      <c r="AM319" s="10">
        <v>5980</v>
      </c>
      <c r="AN319" s="10">
        <v>0</v>
      </c>
      <c r="AO319" s="10">
        <v>0</v>
      </c>
    </row>
    <row r="320" spans="1:41" ht="15" x14ac:dyDescent="0.25">
      <c r="A320" s="11" t="s">
        <v>22</v>
      </c>
      <c r="B320" s="12">
        <v>6078</v>
      </c>
      <c r="C320" s="17">
        <v>6480</v>
      </c>
      <c r="D320" s="12">
        <v>0</v>
      </c>
      <c r="E320" s="12">
        <v>0</v>
      </c>
      <c r="F320" s="12">
        <v>2827</v>
      </c>
      <c r="G320" s="12">
        <f>2941+SUM(2520)</f>
        <v>5461</v>
      </c>
      <c r="H320" s="4">
        <v>0</v>
      </c>
      <c r="I320" s="12">
        <v>0</v>
      </c>
      <c r="J320" s="12">
        <v>1000</v>
      </c>
      <c r="K320" s="12">
        <v>5</v>
      </c>
      <c r="L320" s="12">
        <v>10025</v>
      </c>
      <c r="M320" s="12">
        <v>0</v>
      </c>
      <c r="N320" s="12">
        <v>0</v>
      </c>
      <c r="O320" s="12">
        <v>0</v>
      </c>
      <c r="P320" s="10">
        <v>0</v>
      </c>
      <c r="Q320" s="10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10650</v>
      </c>
      <c r="AE320" s="12">
        <v>0</v>
      </c>
      <c r="AF320" s="12">
        <v>0</v>
      </c>
      <c r="AG320" s="22">
        <v>0</v>
      </c>
      <c r="AH320" s="20">
        <v>0</v>
      </c>
      <c r="AI320" s="20">
        <v>0</v>
      </c>
      <c r="AJ320" s="23">
        <v>0</v>
      </c>
      <c r="AK320" s="12">
        <v>0</v>
      </c>
      <c r="AL320" s="12">
        <v>0</v>
      </c>
      <c r="AM320" s="12">
        <v>1150</v>
      </c>
      <c r="AN320" s="12">
        <v>153</v>
      </c>
      <c r="AO320" s="12">
        <f>2941+SUM(28)</f>
        <v>2969</v>
      </c>
    </row>
    <row r="321" spans="1:41" ht="15" x14ac:dyDescent="0.25">
      <c r="A321" s="13" t="s">
        <v>46</v>
      </c>
      <c r="B321" s="10">
        <v>7266</v>
      </c>
      <c r="C321" s="10">
        <v>6480</v>
      </c>
      <c r="D321" s="10">
        <v>0</v>
      </c>
      <c r="E321" s="10">
        <v>0</v>
      </c>
      <c r="F321" s="10">
        <v>2688</v>
      </c>
      <c r="G321" s="10">
        <v>2520</v>
      </c>
      <c r="H321" s="2">
        <v>0</v>
      </c>
      <c r="I321" s="10">
        <v>0</v>
      </c>
      <c r="J321" s="10">
        <v>1000</v>
      </c>
      <c r="K321" s="10">
        <v>5</v>
      </c>
      <c r="L321" s="10">
        <v>10100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24">
        <v>0</v>
      </c>
      <c r="AI321" s="24">
        <v>0</v>
      </c>
      <c r="AJ321" s="10">
        <v>0</v>
      </c>
      <c r="AK321" s="10">
        <v>0</v>
      </c>
      <c r="AL321" s="10">
        <v>0</v>
      </c>
      <c r="AM321" s="10">
        <v>1185</v>
      </c>
      <c r="AN321" s="10">
        <f>SUM(137+69)</f>
        <v>206</v>
      </c>
      <c r="AO321" s="15">
        <v>19</v>
      </c>
    </row>
    <row r="322" spans="1:41" ht="15" x14ac:dyDescent="0.25">
      <c r="A322" s="13" t="s">
        <v>47</v>
      </c>
      <c r="B322" s="10">
        <f>5948+SUM(3000)</f>
        <v>8948</v>
      </c>
      <c r="C322" s="10">
        <v>3888</v>
      </c>
      <c r="D322" s="10">
        <v>0</v>
      </c>
      <c r="E322" s="10">
        <v>0</v>
      </c>
      <c r="F322" s="10">
        <v>2480</v>
      </c>
      <c r="G322" s="10">
        <v>1512</v>
      </c>
      <c r="H322" s="2">
        <v>0</v>
      </c>
      <c r="I322" s="10">
        <v>0</v>
      </c>
      <c r="J322" s="10">
        <v>600</v>
      </c>
      <c r="K322" s="10">
        <v>3</v>
      </c>
      <c r="L322" s="10">
        <v>6075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24">
        <v>0</v>
      </c>
      <c r="AI322" s="24">
        <v>0</v>
      </c>
      <c r="AJ322" s="10">
        <v>0</v>
      </c>
      <c r="AK322" s="10">
        <v>0</v>
      </c>
      <c r="AL322" s="10">
        <v>0</v>
      </c>
      <c r="AM322" s="10">
        <v>1411</v>
      </c>
      <c r="AN322" s="10">
        <f>128+SUM(32)</f>
        <v>160</v>
      </c>
      <c r="AO322" s="15">
        <v>20</v>
      </c>
    </row>
    <row r="323" spans="1:41" ht="15" x14ac:dyDescent="0.25">
      <c r="A323" s="14" t="s">
        <v>24</v>
      </c>
      <c r="B323" s="10">
        <f t="shared" ref="B323:K323" si="65">SUM(B318+B319-B320-B321-B322)</f>
        <v>87902</v>
      </c>
      <c r="C323" s="10">
        <f t="shared" si="65"/>
        <v>3181</v>
      </c>
      <c r="D323" s="10">
        <f t="shared" si="65"/>
        <v>60000</v>
      </c>
      <c r="E323" s="10">
        <f t="shared" si="65"/>
        <v>0</v>
      </c>
      <c r="F323" s="10">
        <f t="shared" si="65"/>
        <v>12505</v>
      </c>
      <c r="G323" s="10">
        <f t="shared" si="65"/>
        <v>4742</v>
      </c>
      <c r="H323" s="2">
        <f t="shared" si="65"/>
        <v>0</v>
      </c>
      <c r="I323" s="10">
        <f t="shared" si="65"/>
        <v>410</v>
      </c>
      <c r="J323" s="10">
        <f t="shared" si="65"/>
        <v>11600</v>
      </c>
      <c r="K323" s="10">
        <f t="shared" si="65"/>
        <v>241.34899999999999</v>
      </c>
      <c r="L323" s="10">
        <f>SUM(L318+L320+L321+L322)</f>
        <v>257925</v>
      </c>
      <c r="M323" s="10">
        <f>SUM(M318+M319+M320+M321+M322)</f>
        <v>171</v>
      </c>
      <c r="N323" s="10">
        <f>SUM(N318+N319-N320-N321-N322)</f>
        <v>0</v>
      </c>
      <c r="O323" s="10">
        <f>SUM(O318+O319-O320-O321-O322)</f>
        <v>87</v>
      </c>
      <c r="P323" s="10">
        <f>SUM(P318+P319+P320+P322)</f>
        <v>49288</v>
      </c>
      <c r="Q323" s="10">
        <f>SUM(Q318-Q319+Q320+Q321+Q322)</f>
        <v>4107</v>
      </c>
      <c r="R323" s="10">
        <f>SUM(R318-R319+R320+R321+R322)</f>
        <v>152</v>
      </c>
      <c r="S323" s="10">
        <f>SUM(S318-S319+S320+S321+S322)</f>
        <v>816</v>
      </c>
      <c r="T323" s="10">
        <f>SUM(T318+T319+T320+T321+T322)</f>
        <v>51</v>
      </c>
      <c r="U323" s="10">
        <f>SUM(U318+U319-U320-U321-U322)</f>
        <v>100450</v>
      </c>
      <c r="V323" s="10">
        <f>SUM(V318+V319-V320-V321-V322)</f>
        <v>32</v>
      </c>
      <c r="W323" s="10">
        <f>SUM(W318+W319-W320-W321-W322)</f>
        <v>0</v>
      </c>
      <c r="X323" s="10">
        <f>SUM(X318+X319-X320-X321-X322)</f>
        <v>75</v>
      </c>
      <c r="Y323" s="10">
        <f>SUM(Y318+Y319+Y320+Y321+Y322)</f>
        <v>49085</v>
      </c>
      <c r="Z323" s="10">
        <f>SUM(Z318+Z319+Z320+Z321+Z322)</f>
        <v>4090</v>
      </c>
      <c r="AA323" s="10">
        <f>SUM(AA318+AA319+AA320+AA321+AA322)</f>
        <v>27</v>
      </c>
      <c r="AB323" s="10">
        <f>SUM(AB318-AB319+AB320+AB321+AB322)</f>
        <v>907</v>
      </c>
      <c r="AC323" s="10">
        <f t="shared" ref="AC323:AL323" si="66">SUM(AC318+AC319-AC320-AC321-AC322)</f>
        <v>51</v>
      </c>
      <c r="AD323" s="10">
        <f t="shared" si="66"/>
        <v>157375</v>
      </c>
      <c r="AE323" s="10">
        <f t="shared" si="66"/>
        <v>129</v>
      </c>
      <c r="AF323" s="10">
        <f t="shared" si="66"/>
        <v>0</v>
      </c>
      <c r="AG323" s="10">
        <f t="shared" si="66"/>
        <v>0</v>
      </c>
      <c r="AH323" s="10">
        <f t="shared" si="66"/>
        <v>0</v>
      </c>
      <c r="AI323" s="10">
        <f t="shared" si="66"/>
        <v>0</v>
      </c>
      <c r="AJ323" s="10">
        <f t="shared" si="66"/>
        <v>0</v>
      </c>
      <c r="AK323" s="10">
        <f t="shared" si="66"/>
        <v>0</v>
      </c>
      <c r="AL323" s="10">
        <f t="shared" si="66"/>
        <v>24</v>
      </c>
      <c r="AM323" s="10">
        <f>SUM(AM318-AM319+AM320+AM321+AM322)</f>
        <v>5262</v>
      </c>
      <c r="AN323" s="10">
        <f>SUM(AN318-AN319+AN320+AN321+AN322)</f>
        <v>2157</v>
      </c>
      <c r="AO323" s="10">
        <f>SUM(AO318-AO319+AO320+AO321+AO322)</f>
        <v>3137</v>
      </c>
    </row>
    <row r="326" spans="1:41" ht="18.75" x14ac:dyDescent="0.3">
      <c r="A326" s="16" t="s">
        <v>60</v>
      </c>
      <c r="B326" s="27" t="s">
        <v>26</v>
      </c>
      <c r="C326" s="27"/>
      <c r="D326" s="27"/>
      <c r="E326" s="27"/>
      <c r="F326" s="27"/>
      <c r="G326" s="27"/>
      <c r="H326" s="27"/>
      <c r="I326" s="27"/>
      <c r="J326" s="27"/>
      <c r="K326" s="27"/>
      <c r="L326" s="27" t="s">
        <v>29</v>
      </c>
      <c r="M326" s="27"/>
      <c r="N326" s="27"/>
      <c r="O326" s="27"/>
      <c r="P326" s="27"/>
      <c r="Q326" s="27"/>
      <c r="R326" s="27"/>
      <c r="S326" s="27"/>
      <c r="T326" s="27"/>
      <c r="U326" s="27" t="s">
        <v>28</v>
      </c>
      <c r="V326" s="27"/>
      <c r="W326" s="27"/>
      <c r="X326" s="27"/>
      <c r="Y326" s="27"/>
      <c r="Z326" s="27"/>
      <c r="AA326" s="27"/>
      <c r="AB326" s="27"/>
      <c r="AC326" s="27"/>
      <c r="AD326" s="27" t="s">
        <v>27</v>
      </c>
      <c r="AE326" s="27"/>
      <c r="AF326" s="27"/>
      <c r="AG326" s="27"/>
      <c r="AH326" s="27"/>
      <c r="AI326" s="27"/>
      <c r="AJ326" s="27"/>
      <c r="AK326" s="27"/>
      <c r="AL326" s="27"/>
      <c r="AM326" s="27" t="s">
        <v>25</v>
      </c>
      <c r="AN326" s="27"/>
      <c r="AO326" s="27"/>
    </row>
    <row r="327" spans="1:41" ht="15" x14ac:dyDescent="0.25">
      <c r="A327" s="5" t="s">
        <v>74</v>
      </c>
      <c r="B327" s="1" t="s">
        <v>0</v>
      </c>
      <c r="C327" s="1" t="s">
        <v>1</v>
      </c>
      <c r="D327" s="1" t="s">
        <v>2</v>
      </c>
      <c r="E327" s="1" t="s">
        <v>3</v>
      </c>
      <c r="F327" s="1" t="s">
        <v>4</v>
      </c>
      <c r="G327" s="1" t="s">
        <v>5</v>
      </c>
      <c r="H327" s="1" t="s">
        <v>33</v>
      </c>
      <c r="I327" s="1" t="s">
        <v>6</v>
      </c>
      <c r="J327" s="1" t="s">
        <v>7</v>
      </c>
      <c r="K327" s="1" t="s">
        <v>8</v>
      </c>
      <c r="L327" s="1" t="s">
        <v>9</v>
      </c>
      <c r="M327" s="1" t="s">
        <v>30</v>
      </c>
      <c r="N327" s="1" t="s">
        <v>10</v>
      </c>
      <c r="O327" s="1" t="s">
        <v>11</v>
      </c>
      <c r="P327" s="1" t="s">
        <v>32</v>
      </c>
      <c r="Q327" s="1" t="s">
        <v>37</v>
      </c>
      <c r="R327" s="1" t="s">
        <v>31</v>
      </c>
      <c r="S327" s="6" t="s">
        <v>12</v>
      </c>
      <c r="T327" s="6" t="s">
        <v>13</v>
      </c>
      <c r="U327" s="6" t="s">
        <v>14</v>
      </c>
      <c r="V327" s="1" t="s">
        <v>30</v>
      </c>
      <c r="W327" s="6" t="s">
        <v>10</v>
      </c>
      <c r="X327" s="6" t="s">
        <v>15</v>
      </c>
      <c r="Y327" s="1" t="s">
        <v>32</v>
      </c>
      <c r="Z327" s="1" t="s">
        <v>37</v>
      </c>
      <c r="AA327" s="1" t="s">
        <v>31</v>
      </c>
      <c r="AB327" s="1" t="s">
        <v>12</v>
      </c>
      <c r="AC327" s="1" t="s">
        <v>13</v>
      </c>
      <c r="AD327" s="1" t="s">
        <v>9</v>
      </c>
      <c r="AE327" s="1" t="s">
        <v>30</v>
      </c>
      <c r="AF327" s="1" t="s">
        <v>10</v>
      </c>
      <c r="AG327" s="1" t="s">
        <v>11</v>
      </c>
      <c r="AH327" s="18" t="s">
        <v>32</v>
      </c>
      <c r="AI327" s="18" t="s">
        <v>37</v>
      </c>
      <c r="AJ327" s="1" t="s">
        <v>44</v>
      </c>
      <c r="AK327" s="7" t="s">
        <v>16</v>
      </c>
      <c r="AL327" s="8" t="s">
        <v>13</v>
      </c>
      <c r="AM327" s="1" t="s">
        <v>17</v>
      </c>
      <c r="AN327" s="8" t="s">
        <v>57</v>
      </c>
      <c r="AO327" s="8" t="s">
        <v>19</v>
      </c>
    </row>
    <row r="328" spans="1:41" ht="15" x14ac:dyDescent="0.25">
      <c r="A328" s="9" t="s">
        <v>20</v>
      </c>
      <c r="B328" s="10">
        <v>87902</v>
      </c>
      <c r="C328" s="10">
        <v>3181</v>
      </c>
      <c r="D328" s="10">
        <v>60000</v>
      </c>
      <c r="E328" s="10">
        <v>0</v>
      </c>
      <c r="F328" s="10">
        <v>12500</v>
      </c>
      <c r="G328" s="10">
        <v>4742</v>
      </c>
      <c r="H328" s="3">
        <v>0</v>
      </c>
      <c r="I328" s="25">
        <v>410</v>
      </c>
      <c r="J328" s="10">
        <v>11600</v>
      </c>
      <c r="K328" s="10">
        <v>241.34899999999999</v>
      </c>
      <c r="L328" s="10">
        <v>257925</v>
      </c>
      <c r="M328" s="10">
        <v>171</v>
      </c>
      <c r="N328" s="10">
        <v>0</v>
      </c>
      <c r="O328" s="10">
        <v>87</v>
      </c>
      <c r="P328" s="10">
        <v>49288</v>
      </c>
      <c r="Q328" s="10">
        <v>4107</v>
      </c>
      <c r="R328" s="10">
        <v>152</v>
      </c>
      <c r="S328" s="10">
        <v>816</v>
      </c>
      <c r="T328" s="10">
        <v>51</v>
      </c>
      <c r="U328" s="10">
        <v>100450</v>
      </c>
      <c r="V328" s="10">
        <v>32</v>
      </c>
      <c r="W328" s="10">
        <v>0</v>
      </c>
      <c r="X328" s="10">
        <v>75</v>
      </c>
      <c r="Y328" s="10">
        <v>49085</v>
      </c>
      <c r="Z328" s="10">
        <v>4090</v>
      </c>
      <c r="AA328" s="10">
        <v>27</v>
      </c>
      <c r="AB328" s="10">
        <v>907</v>
      </c>
      <c r="AC328" s="10">
        <v>51</v>
      </c>
      <c r="AD328" s="10">
        <v>157375</v>
      </c>
      <c r="AE328" s="10">
        <v>129</v>
      </c>
      <c r="AF328" s="10">
        <v>0</v>
      </c>
      <c r="AG328" s="19">
        <v>0</v>
      </c>
      <c r="AH328" s="20">
        <v>0</v>
      </c>
      <c r="AI328" s="20">
        <v>0</v>
      </c>
      <c r="AJ328" s="21">
        <v>0</v>
      </c>
      <c r="AK328" s="10">
        <v>0</v>
      </c>
      <c r="AL328" s="10">
        <v>24</v>
      </c>
      <c r="AM328" s="10">
        <v>5262</v>
      </c>
      <c r="AN328" s="10">
        <v>2157</v>
      </c>
      <c r="AO328" s="10">
        <v>3137</v>
      </c>
    </row>
    <row r="329" spans="1:41" ht="15" x14ac:dyDescent="0.25">
      <c r="A329" s="9" t="s">
        <v>21</v>
      </c>
      <c r="B329" s="10">
        <v>0</v>
      </c>
      <c r="C329" s="10">
        <f>SUM(9178+6249+5788-1850-1260-960-164-145-112-300)</f>
        <v>16424</v>
      </c>
      <c r="D329" s="10">
        <v>0</v>
      </c>
      <c r="E329" s="10">
        <v>0</v>
      </c>
      <c r="F329" s="10">
        <v>0</v>
      </c>
      <c r="G329" s="10">
        <f>3100+SUM(2600-100)</f>
        <v>5600</v>
      </c>
      <c r="H329" s="2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f>SUM(10050+11125+4025)</f>
        <v>25200</v>
      </c>
      <c r="AE329" s="10">
        <v>0</v>
      </c>
      <c r="AF329" s="10">
        <v>0</v>
      </c>
      <c r="AG329" s="19">
        <v>0</v>
      </c>
      <c r="AH329" s="20">
        <v>0</v>
      </c>
      <c r="AI329" s="20">
        <v>0</v>
      </c>
      <c r="AJ329" s="21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80</v>
      </c>
    </row>
    <row r="330" spans="1:41" ht="15" x14ac:dyDescent="0.25">
      <c r="A330" s="11" t="s">
        <v>22</v>
      </c>
      <c r="B330" s="12">
        <v>9178</v>
      </c>
      <c r="C330" s="17">
        <v>6480</v>
      </c>
      <c r="D330" s="12">
        <v>0</v>
      </c>
      <c r="E330" s="12">
        <v>0</v>
      </c>
      <c r="F330" s="12">
        <v>0</v>
      </c>
      <c r="G330" s="12">
        <v>2520</v>
      </c>
      <c r="H330" s="4">
        <v>0</v>
      </c>
      <c r="I330" s="12">
        <v>0</v>
      </c>
      <c r="J330" s="12">
        <v>1000</v>
      </c>
      <c r="K330" s="12">
        <v>5</v>
      </c>
      <c r="L330" s="12">
        <v>10050</v>
      </c>
      <c r="M330" s="12">
        <v>0</v>
      </c>
      <c r="N330" s="12">
        <v>0</v>
      </c>
      <c r="O330" s="12">
        <v>0</v>
      </c>
      <c r="P330" s="10">
        <v>0</v>
      </c>
      <c r="Q330" s="10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22">
        <v>0</v>
      </c>
      <c r="AH330" s="20">
        <v>0</v>
      </c>
      <c r="AI330" s="20">
        <v>0</v>
      </c>
      <c r="AJ330" s="23">
        <v>0</v>
      </c>
      <c r="AK330" s="12">
        <v>0</v>
      </c>
      <c r="AL330" s="12">
        <v>0</v>
      </c>
      <c r="AM330" s="12">
        <v>1850</v>
      </c>
      <c r="AN330" s="12">
        <v>164</v>
      </c>
      <c r="AO330" s="12">
        <v>22</v>
      </c>
    </row>
    <row r="331" spans="1:41" ht="15" x14ac:dyDescent="0.25">
      <c r="A331" s="13" t="s">
        <v>46</v>
      </c>
      <c r="B331" s="10">
        <v>6249</v>
      </c>
      <c r="C331" s="10">
        <v>7128</v>
      </c>
      <c r="D331" s="10">
        <v>0</v>
      </c>
      <c r="E331" s="10">
        <v>0</v>
      </c>
      <c r="F331" s="10">
        <v>3200</v>
      </c>
      <c r="G331" s="10">
        <v>2772</v>
      </c>
      <c r="H331" s="2">
        <v>0</v>
      </c>
      <c r="I331" s="10">
        <v>0</v>
      </c>
      <c r="J331" s="10">
        <v>1100</v>
      </c>
      <c r="K331" s="10">
        <v>5.5</v>
      </c>
      <c r="L331" s="10">
        <v>11125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24">
        <v>0</v>
      </c>
      <c r="AI331" s="24">
        <v>0</v>
      </c>
      <c r="AJ331" s="10">
        <v>0</v>
      </c>
      <c r="AK331" s="10">
        <v>0</v>
      </c>
      <c r="AL331" s="10">
        <v>0</v>
      </c>
      <c r="AM331" s="10">
        <v>1260</v>
      </c>
      <c r="AN331" s="10">
        <v>221</v>
      </c>
      <c r="AO331" s="15">
        <v>19</v>
      </c>
    </row>
    <row r="332" spans="1:41" ht="15" x14ac:dyDescent="0.25">
      <c r="A332" s="13" t="s">
        <v>47</v>
      </c>
      <c r="B332" s="10">
        <v>5788</v>
      </c>
      <c r="C332" s="10">
        <v>2592</v>
      </c>
      <c r="D332" s="10">
        <v>0</v>
      </c>
      <c r="E332" s="10">
        <v>0</v>
      </c>
      <c r="F332" s="10">
        <v>2649</v>
      </c>
      <c r="G332" s="10">
        <v>1008</v>
      </c>
      <c r="H332" s="2">
        <v>0</v>
      </c>
      <c r="I332" s="10">
        <v>0</v>
      </c>
      <c r="J332" s="10">
        <v>400</v>
      </c>
      <c r="K332" s="10">
        <v>2</v>
      </c>
      <c r="L332" s="10">
        <v>4025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24">
        <v>0</v>
      </c>
      <c r="AI332" s="24">
        <v>0</v>
      </c>
      <c r="AJ332" s="10">
        <v>0</v>
      </c>
      <c r="AK332" s="10">
        <v>0</v>
      </c>
      <c r="AL332" s="10">
        <v>0</v>
      </c>
      <c r="AM332" s="10">
        <v>960</v>
      </c>
      <c r="AN332" s="10">
        <v>136</v>
      </c>
      <c r="AO332" s="15">
        <v>6</v>
      </c>
    </row>
    <row r="333" spans="1:41" ht="15" x14ac:dyDescent="0.25">
      <c r="A333" s="14" t="s">
        <v>24</v>
      </c>
      <c r="B333" s="10">
        <f t="shared" ref="B333:K333" si="67">SUM(B328+B329-B330-B331-B332)</f>
        <v>66687</v>
      </c>
      <c r="C333" s="10">
        <f t="shared" si="67"/>
        <v>3405</v>
      </c>
      <c r="D333" s="10">
        <f t="shared" si="67"/>
        <v>60000</v>
      </c>
      <c r="E333" s="10">
        <f t="shared" si="67"/>
        <v>0</v>
      </c>
      <c r="F333" s="10">
        <f t="shared" si="67"/>
        <v>6651</v>
      </c>
      <c r="G333" s="10">
        <f t="shared" si="67"/>
        <v>4042</v>
      </c>
      <c r="H333" s="2">
        <f t="shared" si="67"/>
        <v>0</v>
      </c>
      <c r="I333" s="10">
        <f t="shared" si="67"/>
        <v>410</v>
      </c>
      <c r="J333" s="10">
        <f t="shared" si="67"/>
        <v>9100</v>
      </c>
      <c r="K333" s="10">
        <f t="shared" si="67"/>
        <v>228.84899999999999</v>
      </c>
      <c r="L333" s="10">
        <f>SUM(L328+L330+L331+L332)</f>
        <v>283125</v>
      </c>
      <c r="M333" s="10">
        <f>SUM(M328+M329+M330+M331+M332)</f>
        <v>171</v>
      </c>
      <c r="N333" s="10">
        <f>SUM(N328+N329-N330-N331-N332)</f>
        <v>0</v>
      </c>
      <c r="O333" s="10">
        <f>SUM(O328+O329-O330-O331-O332)</f>
        <v>87</v>
      </c>
      <c r="P333" s="10">
        <f>SUM(P328+P329+P330+P332)</f>
        <v>49288</v>
      </c>
      <c r="Q333" s="10">
        <f>SUM(Q328-Q329+Q330+Q331+Q332)</f>
        <v>4107</v>
      </c>
      <c r="R333" s="10">
        <f>SUM(R328-R329+R330+R331+R332)</f>
        <v>152</v>
      </c>
      <c r="S333" s="10">
        <f>SUM(S328-S329+S330+S331+S332)</f>
        <v>816</v>
      </c>
      <c r="T333" s="10">
        <f>SUM(T328+T329+T330+T331+T332)</f>
        <v>51</v>
      </c>
      <c r="U333" s="10">
        <f>SUM(U328+U329-U330-U331-U332)</f>
        <v>100450</v>
      </c>
      <c r="V333" s="10">
        <f>SUM(V328+V329-V330-V331-V332)</f>
        <v>32</v>
      </c>
      <c r="W333" s="10">
        <f>SUM(W328+W329-W330-W331-W332)</f>
        <v>0</v>
      </c>
      <c r="X333" s="10">
        <f>SUM(X328+X329-X330-X331-X332)</f>
        <v>75</v>
      </c>
      <c r="Y333" s="10">
        <f>SUM(Y328+Y329+Y330+Y331+Y332)</f>
        <v>49085</v>
      </c>
      <c r="Z333" s="10">
        <f>SUM(Z328+Z329+Z330+Z331+Z332)</f>
        <v>4090</v>
      </c>
      <c r="AA333" s="10">
        <f>SUM(AA328+AA329+AA330+AA331+AA332)</f>
        <v>27</v>
      </c>
      <c r="AB333" s="10">
        <f>SUM(AB328-AB329+AB330+AB331+AB332)</f>
        <v>907</v>
      </c>
      <c r="AC333" s="10">
        <f t="shared" ref="AC333:AL333" si="68">SUM(AC328+AC329-AC330-AC331-AC332)</f>
        <v>51</v>
      </c>
      <c r="AD333" s="10">
        <f t="shared" si="68"/>
        <v>182575</v>
      </c>
      <c r="AE333" s="10">
        <f t="shared" si="68"/>
        <v>129</v>
      </c>
      <c r="AF333" s="10">
        <f t="shared" si="68"/>
        <v>0</v>
      </c>
      <c r="AG333" s="10">
        <f t="shared" si="68"/>
        <v>0</v>
      </c>
      <c r="AH333" s="10">
        <f t="shared" si="68"/>
        <v>0</v>
      </c>
      <c r="AI333" s="10">
        <f t="shared" si="68"/>
        <v>0</v>
      </c>
      <c r="AJ333" s="10">
        <f t="shared" si="68"/>
        <v>0</v>
      </c>
      <c r="AK333" s="10">
        <f t="shared" si="68"/>
        <v>0</v>
      </c>
      <c r="AL333" s="10">
        <f t="shared" si="68"/>
        <v>24</v>
      </c>
      <c r="AM333" s="10">
        <f>SUM(AM328-AM329+AM330+AM331+AM332)</f>
        <v>9332</v>
      </c>
      <c r="AN333" s="10">
        <f>SUM(AN328-AN329+AN330+AN331+AN332)</f>
        <v>2678</v>
      </c>
      <c r="AO333" s="10">
        <f>SUM(AO328-AO329+AO330+AO331+AO332)</f>
        <v>3104</v>
      </c>
    </row>
    <row r="336" spans="1:41" ht="18.75" x14ac:dyDescent="0.3">
      <c r="A336" s="16" t="s">
        <v>61</v>
      </c>
      <c r="B336" s="27" t="s">
        <v>26</v>
      </c>
      <c r="C336" s="27"/>
      <c r="D336" s="27"/>
      <c r="E336" s="27"/>
      <c r="F336" s="27"/>
      <c r="G336" s="27"/>
      <c r="H336" s="27"/>
      <c r="I336" s="27"/>
      <c r="J336" s="27"/>
      <c r="K336" s="27"/>
      <c r="L336" s="27" t="s">
        <v>29</v>
      </c>
      <c r="M336" s="27"/>
      <c r="N336" s="27"/>
      <c r="O336" s="27"/>
      <c r="P336" s="27"/>
      <c r="Q336" s="27"/>
      <c r="R336" s="27"/>
      <c r="S336" s="27"/>
      <c r="T336" s="27"/>
      <c r="U336" s="27" t="s">
        <v>28</v>
      </c>
      <c r="V336" s="27"/>
      <c r="W336" s="27"/>
      <c r="X336" s="27"/>
      <c r="Y336" s="27"/>
      <c r="Z336" s="27"/>
      <c r="AA336" s="27"/>
      <c r="AB336" s="27"/>
      <c r="AC336" s="27"/>
      <c r="AD336" s="27" t="s">
        <v>27</v>
      </c>
      <c r="AE336" s="27"/>
      <c r="AF336" s="27"/>
      <c r="AG336" s="27"/>
      <c r="AH336" s="27"/>
      <c r="AI336" s="27"/>
      <c r="AJ336" s="27"/>
      <c r="AK336" s="27"/>
      <c r="AL336" s="27"/>
      <c r="AM336" s="27" t="s">
        <v>25</v>
      </c>
      <c r="AN336" s="27"/>
      <c r="AO336" s="27"/>
    </row>
    <row r="337" spans="1:41" ht="15" x14ac:dyDescent="0.25">
      <c r="A337" s="5" t="s">
        <v>74</v>
      </c>
      <c r="B337" s="1" t="s">
        <v>0</v>
      </c>
      <c r="C337" s="1" t="s">
        <v>1</v>
      </c>
      <c r="D337" s="1" t="s">
        <v>2</v>
      </c>
      <c r="E337" s="1" t="s">
        <v>3</v>
      </c>
      <c r="F337" s="1" t="s">
        <v>4</v>
      </c>
      <c r="G337" s="1" t="s">
        <v>5</v>
      </c>
      <c r="H337" s="1" t="s">
        <v>33</v>
      </c>
      <c r="I337" s="1" t="s">
        <v>6</v>
      </c>
      <c r="J337" s="1" t="s">
        <v>7</v>
      </c>
      <c r="K337" s="1" t="s">
        <v>8</v>
      </c>
      <c r="L337" s="1" t="s">
        <v>9</v>
      </c>
      <c r="M337" s="1" t="s">
        <v>30</v>
      </c>
      <c r="N337" s="1" t="s">
        <v>10</v>
      </c>
      <c r="O337" s="1" t="s">
        <v>11</v>
      </c>
      <c r="P337" s="1" t="s">
        <v>32</v>
      </c>
      <c r="Q337" s="1" t="s">
        <v>37</v>
      </c>
      <c r="R337" s="1" t="s">
        <v>31</v>
      </c>
      <c r="S337" s="6" t="s">
        <v>12</v>
      </c>
      <c r="T337" s="6" t="s">
        <v>13</v>
      </c>
      <c r="U337" s="6" t="s">
        <v>14</v>
      </c>
      <c r="V337" s="1" t="s">
        <v>30</v>
      </c>
      <c r="W337" s="6" t="s">
        <v>10</v>
      </c>
      <c r="X337" s="6" t="s">
        <v>15</v>
      </c>
      <c r="Y337" s="1" t="s">
        <v>32</v>
      </c>
      <c r="Z337" s="1" t="s">
        <v>37</v>
      </c>
      <c r="AA337" s="1" t="s">
        <v>31</v>
      </c>
      <c r="AB337" s="1" t="s">
        <v>12</v>
      </c>
      <c r="AC337" s="1" t="s">
        <v>13</v>
      </c>
      <c r="AD337" s="1" t="s">
        <v>9</v>
      </c>
      <c r="AE337" s="1" t="s">
        <v>30</v>
      </c>
      <c r="AF337" s="1" t="s">
        <v>10</v>
      </c>
      <c r="AG337" s="1" t="s">
        <v>11</v>
      </c>
      <c r="AH337" s="18" t="s">
        <v>32</v>
      </c>
      <c r="AI337" s="18" t="s">
        <v>37</v>
      </c>
      <c r="AJ337" s="1" t="s">
        <v>44</v>
      </c>
      <c r="AK337" s="7" t="s">
        <v>16</v>
      </c>
      <c r="AL337" s="8" t="s">
        <v>13</v>
      </c>
      <c r="AM337" s="1" t="s">
        <v>17</v>
      </c>
      <c r="AN337" s="8" t="s">
        <v>57</v>
      </c>
      <c r="AO337" s="8" t="s">
        <v>19</v>
      </c>
    </row>
    <row r="338" spans="1:41" ht="15" x14ac:dyDescent="0.25">
      <c r="A338" s="9" t="s">
        <v>20</v>
      </c>
      <c r="B338" s="10">
        <v>66687</v>
      </c>
      <c r="C338" s="10">
        <v>3405</v>
      </c>
      <c r="D338" s="10">
        <v>60000</v>
      </c>
      <c r="E338" s="10">
        <v>0</v>
      </c>
      <c r="F338" s="10">
        <v>6651</v>
      </c>
      <c r="G338" s="10">
        <v>4042</v>
      </c>
      <c r="H338" s="3">
        <v>0</v>
      </c>
      <c r="I338" s="25">
        <v>410</v>
      </c>
      <c r="J338" s="10">
        <v>9100</v>
      </c>
      <c r="K338" s="10">
        <v>228.84899999999999</v>
      </c>
      <c r="L338" s="10">
        <v>283125</v>
      </c>
      <c r="M338" s="10">
        <v>171</v>
      </c>
      <c r="N338" s="10">
        <v>0</v>
      </c>
      <c r="O338" s="10">
        <v>87</v>
      </c>
      <c r="P338" s="10">
        <v>49288</v>
      </c>
      <c r="Q338" s="10">
        <v>4107</v>
      </c>
      <c r="R338" s="10">
        <v>152</v>
      </c>
      <c r="S338" s="10">
        <v>816</v>
      </c>
      <c r="T338" s="10">
        <v>51</v>
      </c>
      <c r="U338" s="10">
        <v>100450</v>
      </c>
      <c r="V338" s="10">
        <v>32</v>
      </c>
      <c r="W338" s="10">
        <v>0</v>
      </c>
      <c r="X338" s="10">
        <v>75</v>
      </c>
      <c r="Y338" s="10">
        <v>49085</v>
      </c>
      <c r="Z338" s="10">
        <v>4090</v>
      </c>
      <c r="AA338" s="10">
        <v>27</v>
      </c>
      <c r="AB338" s="10">
        <v>907</v>
      </c>
      <c r="AC338" s="10">
        <v>51</v>
      </c>
      <c r="AD338" s="10">
        <v>182575</v>
      </c>
      <c r="AE338" s="10">
        <v>129</v>
      </c>
      <c r="AF338" s="10">
        <v>0</v>
      </c>
      <c r="AG338" s="19">
        <v>0</v>
      </c>
      <c r="AH338" s="20">
        <v>0</v>
      </c>
      <c r="AI338" s="20">
        <v>0</v>
      </c>
      <c r="AJ338" s="21">
        <v>0</v>
      </c>
      <c r="AK338" s="10">
        <v>0</v>
      </c>
      <c r="AL338" s="10">
        <v>24</v>
      </c>
      <c r="AM338" s="10">
        <v>9332</v>
      </c>
      <c r="AN338" s="10">
        <v>2678</v>
      </c>
      <c r="AO338" s="10">
        <v>3104</v>
      </c>
    </row>
    <row r="339" spans="1:41" ht="15" x14ac:dyDescent="0.25">
      <c r="A339" s="9" t="s">
        <v>21</v>
      </c>
      <c r="B339" s="10">
        <v>0</v>
      </c>
      <c r="C339" s="10">
        <f>SUM(5876+6603+10165-1350-127-1175-105-1500-218-300)</f>
        <v>17869</v>
      </c>
      <c r="D339" s="10">
        <v>0</v>
      </c>
      <c r="E339" s="10">
        <v>0</v>
      </c>
      <c r="F339" s="10">
        <v>25200</v>
      </c>
      <c r="G339" s="10">
        <f>1950+SUM(3650+2050-100)</f>
        <v>7550</v>
      </c>
      <c r="H339" s="2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f>SUM(7000+10175+10075)</f>
        <v>27250</v>
      </c>
      <c r="AE339" s="10">
        <v>0</v>
      </c>
      <c r="AF339" s="10">
        <v>0</v>
      </c>
      <c r="AG339" s="19">
        <v>0</v>
      </c>
      <c r="AH339" s="20">
        <v>0</v>
      </c>
      <c r="AI339" s="20">
        <v>0</v>
      </c>
      <c r="AJ339" s="21">
        <v>0</v>
      </c>
      <c r="AK339" s="10">
        <v>0</v>
      </c>
      <c r="AL339" s="10">
        <v>0</v>
      </c>
      <c r="AM339" s="10">
        <v>6680</v>
      </c>
      <c r="AN339" s="10">
        <v>0</v>
      </c>
      <c r="AO339" s="10">
        <v>0</v>
      </c>
    </row>
    <row r="340" spans="1:41" ht="15" x14ac:dyDescent="0.25">
      <c r="A340" s="11" t="s">
        <v>22</v>
      </c>
      <c r="B340" s="12">
        <v>5876</v>
      </c>
      <c r="C340" s="17">
        <v>4536</v>
      </c>
      <c r="D340" s="12">
        <v>0</v>
      </c>
      <c r="E340" s="12">
        <v>0</v>
      </c>
      <c r="F340" s="12">
        <v>2086</v>
      </c>
      <c r="G340" s="12">
        <v>1764</v>
      </c>
      <c r="H340" s="4">
        <v>0</v>
      </c>
      <c r="I340" s="12">
        <v>0</v>
      </c>
      <c r="J340" s="12">
        <v>700</v>
      </c>
      <c r="K340" s="12">
        <v>3.5</v>
      </c>
      <c r="L340" s="12">
        <v>7000</v>
      </c>
      <c r="M340" s="12">
        <v>0</v>
      </c>
      <c r="N340" s="12">
        <v>0</v>
      </c>
      <c r="O340" s="12">
        <v>0</v>
      </c>
      <c r="P340" s="10">
        <v>0</v>
      </c>
      <c r="Q340" s="10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22">
        <v>0</v>
      </c>
      <c r="AH340" s="20">
        <v>0</v>
      </c>
      <c r="AI340" s="20">
        <v>0</v>
      </c>
      <c r="AJ340" s="23">
        <v>0</v>
      </c>
      <c r="AK340" s="12">
        <v>0</v>
      </c>
      <c r="AL340" s="12">
        <v>0</v>
      </c>
      <c r="AM340" s="12">
        <v>1350</v>
      </c>
      <c r="AN340" s="12">
        <f>127+SUM(12)</f>
        <v>139</v>
      </c>
      <c r="AO340" s="12">
        <v>51</v>
      </c>
    </row>
    <row r="341" spans="1:41" ht="15" x14ac:dyDescent="0.25">
      <c r="A341" s="13" t="s">
        <v>46</v>
      </c>
      <c r="B341" s="10">
        <v>6603</v>
      </c>
      <c r="C341" s="10">
        <v>6480</v>
      </c>
      <c r="D341" s="10">
        <v>0</v>
      </c>
      <c r="E341" s="10">
        <v>0</v>
      </c>
      <c r="F341" s="10">
        <v>3700</v>
      </c>
      <c r="G341" s="10">
        <v>2520</v>
      </c>
      <c r="H341" s="2">
        <v>0</v>
      </c>
      <c r="I341" s="10">
        <v>0</v>
      </c>
      <c r="J341" s="10">
        <v>1000</v>
      </c>
      <c r="K341" s="10">
        <v>5</v>
      </c>
      <c r="L341" s="10">
        <v>10175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24">
        <v>0</v>
      </c>
      <c r="AI341" s="24">
        <v>0</v>
      </c>
      <c r="AJ341" s="10">
        <v>0</v>
      </c>
      <c r="AK341" s="10">
        <v>0</v>
      </c>
      <c r="AL341" s="10">
        <v>0</v>
      </c>
      <c r="AM341" s="10">
        <v>1175</v>
      </c>
      <c r="AN341" s="10">
        <f>105+SUM(34)</f>
        <v>139</v>
      </c>
      <c r="AO341" s="15">
        <v>29</v>
      </c>
    </row>
    <row r="342" spans="1:41" ht="15" x14ac:dyDescent="0.25">
      <c r="A342" s="13" t="s">
        <v>47</v>
      </c>
      <c r="B342" s="10">
        <v>10165</v>
      </c>
      <c r="C342" s="10">
        <v>6480</v>
      </c>
      <c r="D342" s="10">
        <v>0</v>
      </c>
      <c r="E342" s="10">
        <v>0</v>
      </c>
      <c r="F342" s="10">
        <v>1968</v>
      </c>
      <c r="G342" s="10">
        <f>2520+SUM(1052)</f>
        <v>3572</v>
      </c>
      <c r="H342" s="2">
        <v>0</v>
      </c>
      <c r="I342" s="10">
        <v>0</v>
      </c>
      <c r="J342" s="10">
        <v>1000</v>
      </c>
      <c r="K342" s="10">
        <v>5</v>
      </c>
      <c r="L342" s="10">
        <v>10075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24">
        <v>0</v>
      </c>
      <c r="AI342" s="24">
        <v>0</v>
      </c>
      <c r="AJ342" s="10">
        <v>0</v>
      </c>
      <c r="AK342" s="10">
        <v>0</v>
      </c>
      <c r="AL342" s="10">
        <v>0</v>
      </c>
      <c r="AM342" s="10">
        <v>1500</v>
      </c>
      <c r="AN342" s="10">
        <f>218+SUM(18+1050)</f>
        <v>1286</v>
      </c>
      <c r="AO342" s="15">
        <v>42</v>
      </c>
    </row>
    <row r="343" spans="1:41" ht="15" x14ac:dyDescent="0.25">
      <c r="A343" s="14" t="s">
        <v>24</v>
      </c>
      <c r="B343" s="10">
        <f t="shared" ref="B343:K343" si="69">SUM(B338+B339-B340-B341-B342)</f>
        <v>44043</v>
      </c>
      <c r="C343" s="10">
        <f t="shared" si="69"/>
        <v>3778</v>
      </c>
      <c r="D343" s="10">
        <f t="shared" si="69"/>
        <v>60000</v>
      </c>
      <c r="E343" s="10">
        <f t="shared" si="69"/>
        <v>0</v>
      </c>
      <c r="F343" s="10">
        <f t="shared" si="69"/>
        <v>24097</v>
      </c>
      <c r="G343" s="10">
        <f t="shared" si="69"/>
        <v>3736</v>
      </c>
      <c r="H343" s="2">
        <f t="shared" si="69"/>
        <v>0</v>
      </c>
      <c r="I343" s="10">
        <f t="shared" si="69"/>
        <v>410</v>
      </c>
      <c r="J343" s="10">
        <f t="shared" si="69"/>
        <v>6400</v>
      </c>
      <c r="K343" s="10">
        <f t="shared" si="69"/>
        <v>215.34899999999999</v>
      </c>
      <c r="L343" s="10">
        <f>SUM(L338+L340+L341+L342)</f>
        <v>310375</v>
      </c>
      <c r="M343" s="10">
        <f>SUM(M338+M339+M340+M341+M342)</f>
        <v>171</v>
      </c>
      <c r="N343" s="10">
        <f>SUM(N338+N339-N340-N341-N342)</f>
        <v>0</v>
      </c>
      <c r="O343" s="10">
        <f>SUM(O338+O339-O340-O341-O342)</f>
        <v>87</v>
      </c>
      <c r="P343" s="10">
        <f>SUM(P338+P339+P340+P342)</f>
        <v>49288</v>
      </c>
      <c r="Q343" s="10">
        <f>SUM(Q338-Q339+Q340+Q341+Q342)</f>
        <v>4107</v>
      </c>
      <c r="R343" s="10">
        <f>SUM(R338-R339+R340+R341+R342)</f>
        <v>152</v>
      </c>
      <c r="S343" s="10">
        <f>SUM(S338-S339+S340+S341+S342)</f>
        <v>816</v>
      </c>
      <c r="T343" s="10">
        <f>SUM(T338+T339+T340+T341+T342)</f>
        <v>51</v>
      </c>
      <c r="U343" s="10">
        <f>SUM(U338+U339-U340-U341-U342)</f>
        <v>100450</v>
      </c>
      <c r="V343" s="10">
        <f>SUM(V338+V339-V340-V341-V342)</f>
        <v>32</v>
      </c>
      <c r="W343" s="10">
        <f>SUM(W338+W339-W340-W341-W342)</f>
        <v>0</v>
      </c>
      <c r="X343" s="10">
        <f>SUM(X338+X339-X340-X341-X342)</f>
        <v>75</v>
      </c>
      <c r="Y343" s="10">
        <f>SUM(Y338+Y339+Y340+Y341+Y342)</f>
        <v>49085</v>
      </c>
      <c r="Z343" s="10">
        <f>SUM(Z338+Z339+Z340+Z341+Z342)</f>
        <v>4090</v>
      </c>
      <c r="AA343" s="10">
        <f>SUM(AA338+AA339+AA340+AA341+AA342)</f>
        <v>27</v>
      </c>
      <c r="AB343" s="10">
        <f>SUM(AB338-AB339+AB340+AB341+AB342)</f>
        <v>907</v>
      </c>
      <c r="AC343" s="10">
        <f t="shared" ref="AC343:AL343" si="70">SUM(AC338+AC339-AC340-AC341-AC342)</f>
        <v>51</v>
      </c>
      <c r="AD343" s="10">
        <f t="shared" si="70"/>
        <v>209825</v>
      </c>
      <c r="AE343" s="10">
        <f t="shared" si="70"/>
        <v>129</v>
      </c>
      <c r="AF343" s="10">
        <f t="shared" si="70"/>
        <v>0</v>
      </c>
      <c r="AG343" s="10">
        <f t="shared" si="70"/>
        <v>0</v>
      </c>
      <c r="AH343" s="10">
        <f t="shared" si="70"/>
        <v>0</v>
      </c>
      <c r="AI343" s="10">
        <f t="shared" si="70"/>
        <v>0</v>
      </c>
      <c r="AJ343" s="10">
        <f t="shared" si="70"/>
        <v>0</v>
      </c>
      <c r="AK343" s="10">
        <f t="shared" si="70"/>
        <v>0</v>
      </c>
      <c r="AL343" s="10">
        <f t="shared" si="70"/>
        <v>24</v>
      </c>
      <c r="AM343" s="10">
        <f>SUM(AM338-AM339+AM340+AM341+AM342)</f>
        <v>6677</v>
      </c>
      <c r="AN343" s="10">
        <f>SUM(AN338-AN339+AN340+AN341+AN342)</f>
        <v>4242</v>
      </c>
      <c r="AO343" s="10">
        <f>SUM(AO338-AO339+AO340+AO341+AO342)</f>
        <v>3226</v>
      </c>
    </row>
    <row r="346" spans="1:41" ht="18.75" x14ac:dyDescent="0.3">
      <c r="A346" s="16" t="s">
        <v>62</v>
      </c>
      <c r="B346" s="27" t="s">
        <v>26</v>
      </c>
      <c r="C346" s="27"/>
      <c r="D346" s="27"/>
      <c r="E346" s="27"/>
      <c r="F346" s="27"/>
      <c r="G346" s="27"/>
      <c r="H346" s="27"/>
      <c r="I346" s="27"/>
      <c r="J346" s="27"/>
      <c r="K346" s="27"/>
      <c r="L346" s="27" t="s">
        <v>29</v>
      </c>
      <c r="M346" s="27"/>
      <c r="N346" s="27"/>
      <c r="O346" s="27"/>
      <c r="P346" s="27"/>
      <c r="Q346" s="27"/>
      <c r="R346" s="27"/>
      <c r="S346" s="27"/>
      <c r="T346" s="27"/>
      <c r="U346" s="27" t="s">
        <v>28</v>
      </c>
      <c r="V346" s="27"/>
      <c r="W346" s="27"/>
      <c r="X346" s="27"/>
      <c r="Y346" s="27"/>
      <c r="Z346" s="27"/>
      <c r="AA346" s="27"/>
      <c r="AB346" s="27"/>
      <c r="AC346" s="27"/>
      <c r="AD346" s="27" t="s">
        <v>27</v>
      </c>
      <c r="AE346" s="27"/>
      <c r="AF346" s="27"/>
      <c r="AG346" s="27"/>
      <c r="AH346" s="27"/>
      <c r="AI346" s="27"/>
      <c r="AJ346" s="27"/>
      <c r="AK346" s="27"/>
      <c r="AL346" s="27"/>
      <c r="AM346" s="27" t="s">
        <v>25</v>
      </c>
      <c r="AN346" s="27"/>
      <c r="AO346" s="27"/>
    </row>
    <row r="347" spans="1:41" ht="15" x14ac:dyDescent="0.25">
      <c r="A347" s="5" t="s">
        <v>74</v>
      </c>
      <c r="B347" s="1" t="s">
        <v>0</v>
      </c>
      <c r="C347" s="1" t="s">
        <v>1</v>
      </c>
      <c r="D347" s="1" t="s">
        <v>2</v>
      </c>
      <c r="E347" s="1" t="s">
        <v>3</v>
      </c>
      <c r="F347" s="1" t="s">
        <v>4</v>
      </c>
      <c r="G347" s="1" t="s">
        <v>5</v>
      </c>
      <c r="H347" s="1" t="s">
        <v>33</v>
      </c>
      <c r="I347" s="1" t="s">
        <v>6</v>
      </c>
      <c r="J347" s="1" t="s">
        <v>7</v>
      </c>
      <c r="K347" s="1" t="s">
        <v>8</v>
      </c>
      <c r="L347" s="1" t="s">
        <v>9</v>
      </c>
      <c r="M347" s="1" t="s">
        <v>30</v>
      </c>
      <c r="N347" s="1" t="s">
        <v>10</v>
      </c>
      <c r="O347" s="1" t="s">
        <v>11</v>
      </c>
      <c r="P347" s="1" t="s">
        <v>32</v>
      </c>
      <c r="Q347" s="1" t="s">
        <v>37</v>
      </c>
      <c r="R347" s="1" t="s">
        <v>31</v>
      </c>
      <c r="S347" s="6" t="s">
        <v>12</v>
      </c>
      <c r="T347" s="6" t="s">
        <v>13</v>
      </c>
      <c r="U347" s="6" t="s">
        <v>14</v>
      </c>
      <c r="V347" s="1" t="s">
        <v>30</v>
      </c>
      <c r="W347" s="6" t="s">
        <v>10</v>
      </c>
      <c r="X347" s="6" t="s">
        <v>15</v>
      </c>
      <c r="Y347" s="1" t="s">
        <v>32</v>
      </c>
      <c r="Z347" s="1" t="s">
        <v>37</v>
      </c>
      <c r="AA347" s="1" t="s">
        <v>31</v>
      </c>
      <c r="AB347" s="1" t="s">
        <v>12</v>
      </c>
      <c r="AC347" s="1" t="s">
        <v>13</v>
      </c>
      <c r="AD347" s="1" t="s">
        <v>9</v>
      </c>
      <c r="AE347" s="1" t="s">
        <v>30</v>
      </c>
      <c r="AF347" s="1" t="s">
        <v>10</v>
      </c>
      <c r="AG347" s="1" t="s">
        <v>11</v>
      </c>
      <c r="AH347" s="18" t="s">
        <v>32</v>
      </c>
      <c r="AI347" s="18" t="s">
        <v>37</v>
      </c>
      <c r="AJ347" s="1" t="s">
        <v>44</v>
      </c>
      <c r="AK347" s="7" t="s">
        <v>16</v>
      </c>
      <c r="AL347" s="8" t="s">
        <v>13</v>
      </c>
      <c r="AM347" s="1" t="s">
        <v>17</v>
      </c>
      <c r="AN347" s="8" t="s">
        <v>57</v>
      </c>
      <c r="AO347" s="8" t="s">
        <v>19</v>
      </c>
    </row>
    <row r="348" spans="1:41" ht="15" x14ac:dyDescent="0.25">
      <c r="A348" s="9" t="s">
        <v>20</v>
      </c>
      <c r="B348" s="10">
        <v>44043</v>
      </c>
      <c r="C348" s="10">
        <v>3778</v>
      </c>
      <c r="D348" s="10">
        <v>60000</v>
      </c>
      <c r="E348" s="10">
        <v>0</v>
      </c>
      <c r="F348" s="10">
        <v>24097</v>
      </c>
      <c r="G348" s="10">
        <v>3736</v>
      </c>
      <c r="H348" s="3">
        <v>0</v>
      </c>
      <c r="I348" s="25">
        <v>410</v>
      </c>
      <c r="J348" s="10">
        <v>6400</v>
      </c>
      <c r="K348" s="10">
        <v>215.34899999999999</v>
      </c>
      <c r="L348" s="10">
        <v>310375</v>
      </c>
      <c r="M348" s="10">
        <v>171</v>
      </c>
      <c r="N348" s="10">
        <v>0</v>
      </c>
      <c r="O348" s="10">
        <v>87</v>
      </c>
      <c r="P348" s="10">
        <v>49288</v>
      </c>
      <c r="Q348" s="10">
        <v>4107</v>
      </c>
      <c r="R348" s="10">
        <v>152</v>
      </c>
      <c r="S348" s="10">
        <v>816</v>
      </c>
      <c r="T348" s="10">
        <v>51</v>
      </c>
      <c r="U348" s="10">
        <v>100450</v>
      </c>
      <c r="V348" s="10">
        <v>32</v>
      </c>
      <c r="W348" s="10">
        <v>0</v>
      </c>
      <c r="X348" s="10">
        <v>75</v>
      </c>
      <c r="Y348" s="10">
        <v>49085</v>
      </c>
      <c r="Z348" s="10">
        <v>4090</v>
      </c>
      <c r="AA348" s="10">
        <v>27</v>
      </c>
      <c r="AB348" s="10">
        <v>907</v>
      </c>
      <c r="AC348" s="10">
        <v>51</v>
      </c>
      <c r="AD348" s="10">
        <v>209825</v>
      </c>
      <c r="AE348" s="10">
        <v>129</v>
      </c>
      <c r="AF348" s="10">
        <v>0</v>
      </c>
      <c r="AG348" s="19">
        <v>0</v>
      </c>
      <c r="AH348" s="20">
        <v>0</v>
      </c>
      <c r="AI348" s="20">
        <v>0</v>
      </c>
      <c r="AJ348" s="21">
        <v>0</v>
      </c>
      <c r="AK348" s="10">
        <v>0</v>
      </c>
      <c r="AL348" s="10">
        <v>24</v>
      </c>
      <c r="AM348" s="10">
        <v>6677</v>
      </c>
      <c r="AN348" s="10">
        <v>4242</v>
      </c>
      <c r="AO348" s="10">
        <v>3226</v>
      </c>
    </row>
    <row r="349" spans="1:41" ht="15" x14ac:dyDescent="0.25">
      <c r="A349" s="9" t="s">
        <v>21</v>
      </c>
      <c r="B349" s="10">
        <v>0</v>
      </c>
      <c r="C349" s="10">
        <f>SUM(5678+7017+6652-1200-105-1380-145-1300-134-400+331)</f>
        <v>15014</v>
      </c>
      <c r="D349" s="10">
        <v>0</v>
      </c>
      <c r="E349" s="10">
        <v>0</v>
      </c>
      <c r="F349" s="10">
        <v>0</v>
      </c>
      <c r="G349" s="10">
        <f>SUM(2300+3900+3000-150)</f>
        <v>9050</v>
      </c>
      <c r="H349" s="2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f>SUM(10000+10075+9125)</f>
        <v>29200</v>
      </c>
      <c r="AE349" s="10">
        <v>0</v>
      </c>
      <c r="AF349" s="10">
        <v>0</v>
      </c>
      <c r="AG349" s="19">
        <v>0</v>
      </c>
      <c r="AH349" s="20">
        <v>0</v>
      </c>
      <c r="AI349" s="20">
        <v>0</v>
      </c>
      <c r="AJ349" s="21">
        <v>0</v>
      </c>
      <c r="AK349" s="10">
        <v>0</v>
      </c>
      <c r="AL349" s="10">
        <v>0</v>
      </c>
      <c r="AM349" s="10">
        <v>0</v>
      </c>
      <c r="AN349" s="10">
        <v>4242</v>
      </c>
      <c r="AO349" s="10">
        <v>3226</v>
      </c>
    </row>
    <row r="350" spans="1:41" ht="15" x14ac:dyDescent="0.25">
      <c r="A350" s="11" t="s">
        <v>22</v>
      </c>
      <c r="B350" s="12">
        <f>5678+SUM(331)</f>
        <v>6009</v>
      </c>
      <c r="C350" s="17">
        <v>6480</v>
      </c>
      <c r="D350" s="12">
        <v>0</v>
      </c>
      <c r="E350" s="12">
        <v>0</v>
      </c>
      <c r="F350" s="12">
        <v>2370</v>
      </c>
      <c r="G350" s="12">
        <v>2520</v>
      </c>
      <c r="H350" s="4">
        <v>0</v>
      </c>
      <c r="I350" s="12">
        <v>0</v>
      </c>
      <c r="J350" s="12">
        <v>1000</v>
      </c>
      <c r="K350" s="12">
        <v>5</v>
      </c>
      <c r="L350" s="12">
        <v>10000</v>
      </c>
      <c r="M350" s="12">
        <v>0</v>
      </c>
      <c r="N350" s="12">
        <v>0</v>
      </c>
      <c r="O350" s="12">
        <v>0</v>
      </c>
      <c r="P350" s="10">
        <v>0</v>
      </c>
      <c r="Q350" s="10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22">
        <v>0</v>
      </c>
      <c r="AH350" s="20">
        <v>0</v>
      </c>
      <c r="AI350" s="20">
        <v>0</v>
      </c>
      <c r="AJ350" s="23">
        <v>0</v>
      </c>
      <c r="AK350" s="12">
        <v>0</v>
      </c>
      <c r="AL350" s="12">
        <v>24</v>
      </c>
      <c r="AM350" s="12">
        <v>1300</v>
      </c>
      <c r="AN350" s="12">
        <v>191</v>
      </c>
      <c r="AO350" s="12">
        <v>13</v>
      </c>
    </row>
    <row r="351" spans="1:41" ht="15" x14ac:dyDescent="0.25">
      <c r="A351" s="13" t="s">
        <v>46</v>
      </c>
      <c r="B351" s="10">
        <v>7017</v>
      </c>
      <c r="C351" s="10">
        <v>6480</v>
      </c>
      <c r="D351" s="10">
        <v>0</v>
      </c>
      <c r="E351" s="10">
        <v>0</v>
      </c>
      <c r="F351" s="10">
        <v>4000</v>
      </c>
      <c r="G351" s="10">
        <v>2520</v>
      </c>
      <c r="H351" s="2">
        <v>0</v>
      </c>
      <c r="I351" s="10">
        <v>0</v>
      </c>
      <c r="J351" s="10">
        <v>1000</v>
      </c>
      <c r="K351" s="10">
        <v>5</v>
      </c>
      <c r="L351" s="10">
        <v>10075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24">
        <v>0</v>
      </c>
      <c r="AI351" s="24">
        <v>0</v>
      </c>
      <c r="AJ351" s="10">
        <v>0</v>
      </c>
      <c r="AK351" s="10">
        <v>0</v>
      </c>
      <c r="AL351" s="10">
        <v>0</v>
      </c>
      <c r="AM351" s="10">
        <v>1200</v>
      </c>
      <c r="AN351" s="10">
        <v>162</v>
      </c>
      <c r="AO351" s="15">
        <v>19</v>
      </c>
    </row>
    <row r="352" spans="1:41" ht="15" x14ac:dyDescent="0.25">
      <c r="A352" s="13" t="s">
        <v>47</v>
      </c>
      <c r="B352" s="10">
        <v>6652</v>
      </c>
      <c r="C352" s="10">
        <v>5832</v>
      </c>
      <c r="D352" s="10">
        <v>0</v>
      </c>
      <c r="E352" s="10">
        <v>0</v>
      </c>
      <c r="F352" s="10">
        <v>3036</v>
      </c>
      <c r="G352" s="10">
        <v>2268</v>
      </c>
      <c r="H352" s="2">
        <v>0</v>
      </c>
      <c r="I352" s="10">
        <v>0</v>
      </c>
      <c r="J352" s="10">
        <v>900</v>
      </c>
      <c r="K352" s="10">
        <v>4.5</v>
      </c>
      <c r="L352" s="10">
        <v>9125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24">
        <v>0</v>
      </c>
      <c r="AI352" s="24">
        <v>0</v>
      </c>
      <c r="AJ352" s="10">
        <v>0</v>
      </c>
      <c r="AK352" s="10">
        <v>0</v>
      </c>
      <c r="AL352" s="10">
        <v>0</v>
      </c>
      <c r="AM352" s="10">
        <v>1380</v>
      </c>
      <c r="AN352" s="10">
        <v>162</v>
      </c>
      <c r="AO352" s="15">
        <v>21</v>
      </c>
    </row>
    <row r="353" spans="1:41" ht="15" x14ac:dyDescent="0.25">
      <c r="A353" s="14" t="s">
        <v>24</v>
      </c>
      <c r="B353" s="10">
        <f t="shared" ref="B353:K353" si="71">SUM(B348+B349-B350-B351-B352)</f>
        <v>24365</v>
      </c>
      <c r="C353" s="10">
        <f t="shared" si="71"/>
        <v>0</v>
      </c>
      <c r="D353" s="10">
        <f t="shared" si="71"/>
        <v>60000</v>
      </c>
      <c r="E353" s="10">
        <f t="shared" si="71"/>
        <v>0</v>
      </c>
      <c r="F353" s="10">
        <f t="shared" si="71"/>
        <v>14691</v>
      </c>
      <c r="G353" s="10">
        <f t="shared" si="71"/>
        <v>5478</v>
      </c>
      <c r="H353" s="2">
        <f t="shared" si="71"/>
        <v>0</v>
      </c>
      <c r="I353" s="10">
        <f t="shared" si="71"/>
        <v>410</v>
      </c>
      <c r="J353" s="10">
        <f t="shared" si="71"/>
        <v>3500</v>
      </c>
      <c r="K353" s="10">
        <f t="shared" si="71"/>
        <v>200.84899999999999</v>
      </c>
      <c r="L353" s="10">
        <f>SUM(L348+L350+L351+L352)</f>
        <v>339575</v>
      </c>
      <c r="M353" s="10">
        <f>SUM(M348+M349+M350+M351+M352)</f>
        <v>171</v>
      </c>
      <c r="N353" s="10">
        <f>SUM(N348+N349-N350-N351-N352)</f>
        <v>0</v>
      </c>
      <c r="O353" s="10">
        <f>SUM(O348+O349-O350-O351-O352)</f>
        <v>87</v>
      </c>
      <c r="P353" s="10">
        <f>SUM(P348+P349+P350+P352)</f>
        <v>49288</v>
      </c>
      <c r="Q353" s="10">
        <f>SUM(Q348-Q349+Q350+Q351+Q352)</f>
        <v>4107</v>
      </c>
      <c r="R353" s="10">
        <f>SUM(R348-R349+R350+R351+R352)</f>
        <v>152</v>
      </c>
      <c r="S353" s="10">
        <f>SUM(S348-S349+S350+S351+S352)</f>
        <v>816</v>
      </c>
      <c r="T353" s="10">
        <f>SUM(T348+T349+T350+T351+T352)</f>
        <v>51</v>
      </c>
      <c r="U353" s="10">
        <f>SUM(U348+U349-U350-U351-U352)</f>
        <v>100450</v>
      </c>
      <c r="V353" s="10">
        <f>SUM(V348+V349-V350-V351-V352)</f>
        <v>32</v>
      </c>
      <c r="W353" s="10">
        <f>SUM(W348+W349-W350-W351-W352)</f>
        <v>0</v>
      </c>
      <c r="X353" s="10">
        <f>SUM(X348+X349-X350-X351-X352)</f>
        <v>75</v>
      </c>
      <c r="Y353" s="10">
        <f>SUM(Y348+Y349+Y350+Y351+Y352)</f>
        <v>49085</v>
      </c>
      <c r="Z353" s="10">
        <f>SUM(Z348+Z349+Z350+Z351+Z352)</f>
        <v>4090</v>
      </c>
      <c r="AA353" s="10">
        <f>SUM(AA348+AA349+AA350+AA351+AA352)</f>
        <v>27</v>
      </c>
      <c r="AB353" s="10">
        <f>SUM(AB348-AB349+AB350+AB351+AB352)</f>
        <v>907</v>
      </c>
      <c r="AC353" s="10">
        <f t="shared" ref="AC353:AL353" si="72">SUM(AC348+AC349-AC350-AC351-AC352)</f>
        <v>51</v>
      </c>
      <c r="AD353" s="10">
        <f t="shared" si="72"/>
        <v>239025</v>
      </c>
      <c r="AE353" s="10">
        <f t="shared" si="72"/>
        <v>129</v>
      </c>
      <c r="AF353" s="10">
        <f t="shared" si="72"/>
        <v>0</v>
      </c>
      <c r="AG353" s="10">
        <f t="shared" si="72"/>
        <v>0</v>
      </c>
      <c r="AH353" s="10">
        <f t="shared" si="72"/>
        <v>0</v>
      </c>
      <c r="AI353" s="10">
        <f t="shared" si="72"/>
        <v>0</v>
      </c>
      <c r="AJ353" s="10">
        <f t="shared" si="72"/>
        <v>0</v>
      </c>
      <c r="AK353" s="10">
        <f t="shared" si="72"/>
        <v>0</v>
      </c>
      <c r="AL353" s="10">
        <f t="shared" si="72"/>
        <v>0</v>
      </c>
      <c r="AM353" s="10">
        <f>SUM(AM348-AM349+AM350+AM351+AM352)</f>
        <v>10557</v>
      </c>
      <c r="AN353" s="10">
        <f>SUM(AN348-AN349+AN350+AN351+AN352)</f>
        <v>515</v>
      </c>
      <c r="AO353" s="10">
        <f>SUM(AO348-AO349+AO350+AO351+AO352)</f>
        <v>53</v>
      </c>
    </row>
    <row r="356" spans="1:41" ht="18.75" x14ac:dyDescent="0.3">
      <c r="A356" s="16" t="s">
        <v>63</v>
      </c>
      <c r="B356" s="27" t="s">
        <v>26</v>
      </c>
      <c r="C356" s="27"/>
      <c r="D356" s="27"/>
      <c r="E356" s="27"/>
      <c r="F356" s="27"/>
      <c r="G356" s="27"/>
      <c r="H356" s="27"/>
      <c r="I356" s="27"/>
      <c r="J356" s="27"/>
      <c r="K356" s="27"/>
      <c r="L356" s="27" t="s">
        <v>29</v>
      </c>
      <c r="M356" s="27"/>
      <c r="N356" s="27"/>
      <c r="O356" s="27"/>
      <c r="P356" s="27"/>
      <c r="Q356" s="27"/>
      <c r="R356" s="27"/>
      <c r="S356" s="27"/>
      <c r="T356" s="27"/>
      <c r="U356" s="27" t="s">
        <v>28</v>
      </c>
      <c r="V356" s="27"/>
      <c r="W356" s="27"/>
      <c r="X356" s="27"/>
      <c r="Y356" s="27"/>
      <c r="Z356" s="27"/>
      <c r="AA356" s="27"/>
      <c r="AB356" s="27"/>
      <c r="AC356" s="27"/>
      <c r="AD356" s="27" t="s">
        <v>27</v>
      </c>
      <c r="AE356" s="27"/>
      <c r="AF356" s="27"/>
      <c r="AG356" s="27"/>
      <c r="AH356" s="27"/>
      <c r="AI356" s="27"/>
      <c r="AJ356" s="27"/>
      <c r="AK356" s="27"/>
      <c r="AL356" s="27"/>
      <c r="AM356" s="27" t="s">
        <v>25</v>
      </c>
      <c r="AN356" s="27"/>
      <c r="AO356" s="27"/>
    </row>
    <row r="357" spans="1:41" ht="15" x14ac:dyDescent="0.25">
      <c r="A357" s="5" t="s">
        <v>74</v>
      </c>
      <c r="B357" s="1" t="s">
        <v>0</v>
      </c>
      <c r="C357" s="1" t="s">
        <v>1</v>
      </c>
      <c r="D357" s="1" t="s">
        <v>2</v>
      </c>
      <c r="E357" s="1" t="s">
        <v>3</v>
      </c>
      <c r="F357" s="1" t="s">
        <v>4</v>
      </c>
      <c r="G357" s="1" t="s">
        <v>5</v>
      </c>
      <c r="H357" s="1" t="s">
        <v>33</v>
      </c>
      <c r="I357" s="1" t="s">
        <v>6</v>
      </c>
      <c r="J357" s="1" t="s">
        <v>7</v>
      </c>
      <c r="K357" s="1" t="s">
        <v>8</v>
      </c>
      <c r="L357" s="1" t="s">
        <v>9</v>
      </c>
      <c r="M357" s="1" t="s">
        <v>30</v>
      </c>
      <c r="N357" s="1" t="s">
        <v>10</v>
      </c>
      <c r="O357" s="1" t="s">
        <v>11</v>
      </c>
      <c r="P357" s="1" t="s">
        <v>32</v>
      </c>
      <c r="Q357" s="1" t="s">
        <v>37</v>
      </c>
      <c r="R357" s="1" t="s">
        <v>31</v>
      </c>
      <c r="S357" s="6" t="s">
        <v>12</v>
      </c>
      <c r="T357" s="6" t="s">
        <v>13</v>
      </c>
      <c r="U357" s="6" t="s">
        <v>14</v>
      </c>
      <c r="V357" s="1" t="s">
        <v>30</v>
      </c>
      <c r="W357" s="6" t="s">
        <v>10</v>
      </c>
      <c r="X357" s="6" t="s">
        <v>15</v>
      </c>
      <c r="Y357" s="1" t="s">
        <v>32</v>
      </c>
      <c r="Z357" s="1" t="s">
        <v>37</v>
      </c>
      <c r="AA357" s="1" t="s">
        <v>31</v>
      </c>
      <c r="AB357" s="1" t="s">
        <v>12</v>
      </c>
      <c r="AC357" s="1" t="s">
        <v>13</v>
      </c>
      <c r="AD357" s="1" t="s">
        <v>9</v>
      </c>
      <c r="AE357" s="1" t="s">
        <v>30</v>
      </c>
      <c r="AF357" s="1" t="s">
        <v>10</v>
      </c>
      <c r="AG357" s="1" t="s">
        <v>11</v>
      </c>
      <c r="AH357" s="18" t="s">
        <v>32</v>
      </c>
      <c r="AI357" s="18" t="s">
        <v>37</v>
      </c>
      <c r="AJ357" s="1" t="s">
        <v>44</v>
      </c>
      <c r="AK357" s="7" t="s">
        <v>16</v>
      </c>
      <c r="AL357" s="8" t="s">
        <v>13</v>
      </c>
      <c r="AM357" s="1" t="s">
        <v>17</v>
      </c>
      <c r="AN357" s="8" t="s">
        <v>57</v>
      </c>
      <c r="AO357" s="8" t="s">
        <v>19</v>
      </c>
    </row>
    <row r="358" spans="1:41" ht="15" x14ac:dyDescent="0.25">
      <c r="A358" s="9" t="s">
        <v>20</v>
      </c>
      <c r="B358" s="10">
        <v>24365</v>
      </c>
      <c r="C358" s="10">
        <v>0</v>
      </c>
      <c r="D358" s="10">
        <v>60000</v>
      </c>
      <c r="E358" s="10">
        <v>0</v>
      </c>
      <c r="F358" s="10">
        <v>14691</v>
      </c>
      <c r="G358" s="10">
        <v>5478</v>
      </c>
      <c r="H358" s="3">
        <v>0</v>
      </c>
      <c r="I358" s="25">
        <v>410</v>
      </c>
      <c r="J358" s="10">
        <v>3500</v>
      </c>
      <c r="K358" s="10">
        <v>200.84899999999999</v>
      </c>
      <c r="L358" s="10">
        <v>339575</v>
      </c>
      <c r="M358" s="10">
        <v>171</v>
      </c>
      <c r="N358" s="10">
        <v>0</v>
      </c>
      <c r="O358" s="10">
        <v>87</v>
      </c>
      <c r="P358" s="10">
        <v>49288</v>
      </c>
      <c r="Q358" s="10">
        <v>4107</v>
      </c>
      <c r="R358" s="10">
        <v>152</v>
      </c>
      <c r="S358" s="10">
        <v>816</v>
      </c>
      <c r="T358" s="10">
        <v>51</v>
      </c>
      <c r="U358" s="10">
        <v>100450</v>
      </c>
      <c r="V358" s="10">
        <v>32</v>
      </c>
      <c r="W358" s="10">
        <v>0</v>
      </c>
      <c r="X358" s="10">
        <v>75</v>
      </c>
      <c r="Y358" s="10">
        <v>49085</v>
      </c>
      <c r="Z358" s="10">
        <v>4090</v>
      </c>
      <c r="AA358" s="10">
        <v>27</v>
      </c>
      <c r="AB358" s="10">
        <v>907</v>
      </c>
      <c r="AC358" s="10">
        <v>51</v>
      </c>
      <c r="AD358" s="10">
        <v>239025</v>
      </c>
      <c r="AE358" s="10">
        <v>129</v>
      </c>
      <c r="AF358" s="10">
        <v>0</v>
      </c>
      <c r="AG358" s="19">
        <v>0</v>
      </c>
      <c r="AH358" s="20">
        <v>0</v>
      </c>
      <c r="AI358" s="20">
        <v>0</v>
      </c>
      <c r="AJ358" s="21">
        <v>0</v>
      </c>
      <c r="AK358" s="10">
        <v>0</v>
      </c>
      <c r="AL358" s="10">
        <v>0</v>
      </c>
      <c r="AM358" s="10">
        <v>10557</v>
      </c>
      <c r="AN358" s="10">
        <v>515</v>
      </c>
      <c r="AO358" s="26">
        <v>53</v>
      </c>
    </row>
    <row r="359" spans="1:41" ht="15" x14ac:dyDescent="0.25">
      <c r="A359" s="9" t="s">
        <v>21</v>
      </c>
      <c r="B359" s="10">
        <v>27300</v>
      </c>
      <c r="C359" s="10">
        <f>SUM(7080+4627+8974-900-1280-1620-91-122-168+1279-300)</f>
        <v>17479</v>
      </c>
      <c r="D359" s="10">
        <v>0</v>
      </c>
      <c r="E359" s="10">
        <v>0</v>
      </c>
      <c r="F359" s="10">
        <f>SUM(12600-720)</f>
        <v>11880</v>
      </c>
      <c r="G359" s="10">
        <f>720+SUM(2900+3550+2720-150)</f>
        <v>9740</v>
      </c>
      <c r="H359" s="2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f>SUM(6050+8075+11125)</f>
        <v>25250</v>
      </c>
      <c r="AE359" s="10">
        <v>0</v>
      </c>
      <c r="AF359" s="10">
        <v>0</v>
      </c>
      <c r="AG359" s="19">
        <v>0</v>
      </c>
      <c r="AH359" s="20">
        <v>0</v>
      </c>
      <c r="AI359" s="20">
        <v>0</v>
      </c>
      <c r="AJ359" s="21">
        <v>0</v>
      </c>
      <c r="AK359" s="10">
        <v>0</v>
      </c>
      <c r="AL359" s="10">
        <v>0</v>
      </c>
      <c r="AM359" s="10">
        <v>47</v>
      </c>
      <c r="AN359" s="19">
        <v>0</v>
      </c>
      <c r="AO359" s="20">
        <v>0</v>
      </c>
    </row>
    <row r="360" spans="1:41" ht="15" x14ac:dyDescent="0.25">
      <c r="A360" s="11" t="s">
        <v>22</v>
      </c>
      <c r="B360" s="12">
        <v>7080</v>
      </c>
      <c r="C360" s="17">
        <v>3888</v>
      </c>
      <c r="D360" s="12">
        <v>0</v>
      </c>
      <c r="E360" s="12">
        <v>0</v>
      </c>
      <c r="F360" s="12">
        <v>2955</v>
      </c>
      <c r="G360" s="12">
        <v>1512</v>
      </c>
      <c r="H360" s="4">
        <v>0</v>
      </c>
      <c r="I360" s="12">
        <v>0</v>
      </c>
      <c r="J360" s="12">
        <v>600</v>
      </c>
      <c r="K360" s="12">
        <v>3</v>
      </c>
      <c r="L360" s="12">
        <v>6050</v>
      </c>
      <c r="M360" s="12">
        <v>0</v>
      </c>
      <c r="N360" s="12">
        <v>0</v>
      </c>
      <c r="O360" s="12">
        <v>0</v>
      </c>
      <c r="P360" s="10">
        <v>0</v>
      </c>
      <c r="Q360" s="10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22">
        <v>0</v>
      </c>
      <c r="AH360" s="20">
        <v>0</v>
      </c>
      <c r="AI360" s="20">
        <v>0</v>
      </c>
      <c r="AJ360" s="23">
        <v>0</v>
      </c>
      <c r="AK360" s="12">
        <v>0</v>
      </c>
      <c r="AL360" s="12">
        <v>0</v>
      </c>
      <c r="AM360" s="12">
        <v>900</v>
      </c>
      <c r="AN360" s="12">
        <v>109</v>
      </c>
      <c r="AO360" s="17">
        <v>4</v>
      </c>
    </row>
    <row r="361" spans="1:41" ht="15" x14ac:dyDescent="0.25">
      <c r="A361" s="13" t="s">
        <v>46</v>
      </c>
      <c r="B361" s="10">
        <v>4627</v>
      </c>
      <c r="C361" s="10">
        <v>5184</v>
      </c>
      <c r="D361" s="10">
        <v>0</v>
      </c>
      <c r="E361" s="10">
        <v>0</v>
      </c>
      <c r="F361" s="10">
        <v>3600</v>
      </c>
      <c r="G361" s="10">
        <v>2016</v>
      </c>
      <c r="H361" s="2">
        <v>0</v>
      </c>
      <c r="I361" s="10">
        <v>0</v>
      </c>
      <c r="J361" s="10">
        <v>800</v>
      </c>
      <c r="K361" s="10">
        <v>4</v>
      </c>
      <c r="L361" s="10">
        <v>8075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24">
        <v>0</v>
      </c>
      <c r="AI361" s="24">
        <v>0</v>
      </c>
      <c r="AJ361" s="10">
        <v>0</v>
      </c>
      <c r="AK361" s="10">
        <v>0</v>
      </c>
      <c r="AL361" s="10">
        <v>0</v>
      </c>
      <c r="AM361" s="10">
        <v>1280</v>
      </c>
      <c r="AN361" s="10">
        <v>163</v>
      </c>
      <c r="AO361" s="15">
        <v>11</v>
      </c>
    </row>
    <row r="362" spans="1:41" ht="15" x14ac:dyDescent="0.25">
      <c r="A362" s="13" t="s">
        <v>47</v>
      </c>
      <c r="B362" s="10">
        <v>8974</v>
      </c>
      <c r="C362" s="10">
        <v>7128</v>
      </c>
      <c r="D362" s="10">
        <v>0</v>
      </c>
      <c r="E362" s="10">
        <v>0</v>
      </c>
      <c r="F362" s="10">
        <v>2772</v>
      </c>
      <c r="G362" s="10">
        <v>2772</v>
      </c>
      <c r="H362" s="2">
        <v>0</v>
      </c>
      <c r="I362" s="10">
        <v>0</v>
      </c>
      <c r="J362" s="10">
        <v>1100</v>
      </c>
      <c r="K362" s="10">
        <v>5.5</v>
      </c>
      <c r="L362" s="10">
        <v>11125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24">
        <v>0</v>
      </c>
      <c r="AI362" s="24">
        <v>0</v>
      </c>
      <c r="AJ362" s="10">
        <v>0</v>
      </c>
      <c r="AK362" s="10">
        <v>0</v>
      </c>
      <c r="AL362" s="10">
        <v>0</v>
      </c>
      <c r="AM362" s="10">
        <v>1620</v>
      </c>
      <c r="AN362" s="10">
        <v>193</v>
      </c>
      <c r="AO362" s="15">
        <v>17</v>
      </c>
    </row>
    <row r="363" spans="1:41" ht="15" x14ac:dyDescent="0.25">
      <c r="A363" s="14" t="s">
        <v>24</v>
      </c>
      <c r="B363" s="10">
        <f t="shared" ref="B363:K363" si="73">SUM(B358+B359-B360-B361-B362)</f>
        <v>30984</v>
      </c>
      <c r="C363" s="10">
        <f t="shared" si="73"/>
        <v>1279</v>
      </c>
      <c r="D363" s="10">
        <f t="shared" si="73"/>
        <v>60000</v>
      </c>
      <c r="E363" s="10">
        <f t="shared" si="73"/>
        <v>0</v>
      </c>
      <c r="F363" s="10">
        <f t="shared" si="73"/>
        <v>17244</v>
      </c>
      <c r="G363" s="10">
        <f t="shared" si="73"/>
        <v>8918</v>
      </c>
      <c r="H363" s="2">
        <f t="shared" si="73"/>
        <v>0</v>
      </c>
      <c r="I363" s="10">
        <f t="shared" si="73"/>
        <v>410</v>
      </c>
      <c r="J363" s="10">
        <f t="shared" si="73"/>
        <v>1000</v>
      </c>
      <c r="K363" s="10">
        <f t="shared" si="73"/>
        <v>188.34899999999999</v>
      </c>
      <c r="L363" s="10">
        <f>SUM(L358+L360+L361+L362)</f>
        <v>364825</v>
      </c>
      <c r="M363" s="10">
        <f>SUM(M358+M359+M360+M361+M362)</f>
        <v>171</v>
      </c>
      <c r="N363" s="10">
        <f>SUM(N358+N359-N360-N361-N362)</f>
        <v>0</v>
      </c>
      <c r="O363" s="10">
        <f>SUM(O358+O359-O360-O361-O362)</f>
        <v>87</v>
      </c>
      <c r="P363" s="10">
        <f>SUM(P358+P359+P360+P362)</f>
        <v>49288</v>
      </c>
      <c r="Q363" s="10">
        <f>SUM(Q358-Q359+Q360+Q361+Q362)</f>
        <v>4107</v>
      </c>
      <c r="R363" s="10">
        <f>SUM(R358-R359+R360+R361+R362)</f>
        <v>152</v>
      </c>
      <c r="S363" s="10">
        <f>SUM(S358-S359+S360+S361+S362)</f>
        <v>816</v>
      </c>
      <c r="T363" s="10">
        <f>SUM(T358+T359+T360+T361+T362)</f>
        <v>51</v>
      </c>
      <c r="U363" s="10">
        <f>SUM(U358+U359-U360-U361-U362)</f>
        <v>100450</v>
      </c>
      <c r="V363" s="10">
        <f>SUM(V358+V359-V360-V361-V362)</f>
        <v>32</v>
      </c>
      <c r="W363" s="10">
        <f>SUM(W358+W359-W360-W361-W362)</f>
        <v>0</v>
      </c>
      <c r="X363" s="10">
        <f>SUM(X358+X359-X360-X361-X362)</f>
        <v>75</v>
      </c>
      <c r="Y363" s="10">
        <f>SUM(Y358+Y359+Y360+Y361+Y362)</f>
        <v>49085</v>
      </c>
      <c r="Z363" s="10">
        <f>SUM(Z358+Z359+Z360+Z361+Z362)</f>
        <v>4090</v>
      </c>
      <c r="AA363" s="10">
        <f>SUM(AA358+AA359+AA360+AA361+AA362)</f>
        <v>27</v>
      </c>
      <c r="AB363" s="10">
        <f>SUM(AB358-AB359+AB360+AB361+AB362)</f>
        <v>907</v>
      </c>
      <c r="AC363" s="10">
        <f t="shared" ref="AC363:AL363" si="74">SUM(AC358+AC359-AC360-AC361-AC362)</f>
        <v>51</v>
      </c>
      <c r="AD363" s="10">
        <f t="shared" si="74"/>
        <v>264275</v>
      </c>
      <c r="AE363" s="10">
        <f t="shared" si="74"/>
        <v>129</v>
      </c>
      <c r="AF363" s="10">
        <f t="shared" si="74"/>
        <v>0</v>
      </c>
      <c r="AG363" s="10">
        <f t="shared" si="74"/>
        <v>0</v>
      </c>
      <c r="AH363" s="10">
        <f t="shared" si="74"/>
        <v>0</v>
      </c>
      <c r="AI363" s="10">
        <f t="shared" si="74"/>
        <v>0</v>
      </c>
      <c r="AJ363" s="10">
        <f t="shared" si="74"/>
        <v>0</v>
      </c>
      <c r="AK363" s="10">
        <f t="shared" si="74"/>
        <v>0</v>
      </c>
      <c r="AL363" s="10">
        <f t="shared" si="74"/>
        <v>0</v>
      </c>
      <c r="AM363" s="10">
        <f>SUM(AM358-AM359+AM360+AM361+AM362)</f>
        <v>14310</v>
      </c>
      <c r="AN363" s="10">
        <f>SUM(AN358-AN359+AN360+AN361+AN362)</f>
        <v>980</v>
      </c>
      <c r="AO363" s="10">
        <f>SUM(AO358-AO359+AO360+AO361+AO362)</f>
        <v>85</v>
      </c>
    </row>
    <row r="366" spans="1:41" ht="18.75" x14ac:dyDescent="0.3">
      <c r="A366" s="16" t="s">
        <v>64</v>
      </c>
      <c r="B366" s="27" t="s">
        <v>26</v>
      </c>
      <c r="C366" s="27"/>
      <c r="D366" s="27"/>
      <c r="E366" s="27"/>
      <c r="F366" s="27"/>
      <c r="G366" s="27"/>
      <c r="H366" s="27"/>
      <c r="I366" s="27"/>
      <c r="J366" s="27"/>
      <c r="K366" s="27"/>
      <c r="L366" s="27" t="s">
        <v>29</v>
      </c>
      <c r="M366" s="27"/>
      <c r="N366" s="27"/>
      <c r="O366" s="27"/>
      <c r="P366" s="27"/>
      <c r="Q366" s="27"/>
      <c r="R366" s="27"/>
      <c r="S366" s="27"/>
      <c r="T366" s="27"/>
      <c r="U366" s="27" t="s">
        <v>28</v>
      </c>
      <c r="V366" s="27"/>
      <c r="W366" s="27"/>
      <c r="X366" s="27"/>
      <c r="Y366" s="27"/>
      <c r="Z366" s="27"/>
      <c r="AA366" s="27"/>
      <c r="AB366" s="27"/>
      <c r="AC366" s="27"/>
      <c r="AD366" s="27" t="s">
        <v>27</v>
      </c>
      <c r="AE366" s="27"/>
      <c r="AF366" s="27"/>
      <c r="AG366" s="27"/>
      <c r="AH366" s="27"/>
      <c r="AI366" s="27"/>
      <c r="AJ366" s="27"/>
      <c r="AK366" s="27"/>
      <c r="AL366" s="27"/>
      <c r="AM366" s="27" t="s">
        <v>25</v>
      </c>
      <c r="AN366" s="27"/>
      <c r="AO366" s="27"/>
    </row>
    <row r="367" spans="1:41" ht="15" x14ac:dyDescent="0.25">
      <c r="A367" s="5" t="s">
        <v>74</v>
      </c>
      <c r="B367" s="1" t="s">
        <v>0</v>
      </c>
      <c r="C367" s="1" t="s">
        <v>1</v>
      </c>
      <c r="D367" s="1" t="s">
        <v>2</v>
      </c>
      <c r="E367" s="1" t="s">
        <v>3</v>
      </c>
      <c r="F367" s="1" t="s">
        <v>4</v>
      </c>
      <c r="G367" s="1" t="s">
        <v>5</v>
      </c>
      <c r="H367" s="1" t="s">
        <v>33</v>
      </c>
      <c r="I367" s="1" t="s">
        <v>6</v>
      </c>
      <c r="J367" s="1" t="s">
        <v>7</v>
      </c>
      <c r="K367" s="1" t="s">
        <v>8</v>
      </c>
      <c r="L367" s="1" t="s">
        <v>9</v>
      </c>
      <c r="M367" s="1" t="s">
        <v>30</v>
      </c>
      <c r="N367" s="1" t="s">
        <v>10</v>
      </c>
      <c r="O367" s="1" t="s">
        <v>11</v>
      </c>
      <c r="P367" s="1" t="s">
        <v>32</v>
      </c>
      <c r="Q367" s="1" t="s">
        <v>37</v>
      </c>
      <c r="R367" s="1" t="s">
        <v>31</v>
      </c>
      <c r="S367" s="6" t="s">
        <v>12</v>
      </c>
      <c r="T367" s="6" t="s">
        <v>13</v>
      </c>
      <c r="U367" s="6" t="s">
        <v>14</v>
      </c>
      <c r="V367" s="1" t="s">
        <v>30</v>
      </c>
      <c r="W367" s="6" t="s">
        <v>10</v>
      </c>
      <c r="X367" s="6" t="s">
        <v>15</v>
      </c>
      <c r="Y367" s="1" t="s">
        <v>32</v>
      </c>
      <c r="Z367" s="1" t="s">
        <v>37</v>
      </c>
      <c r="AA367" s="1" t="s">
        <v>31</v>
      </c>
      <c r="AB367" s="1" t="s">
        <v>12</v>
      </c>
      <c r="AC367" s="1" t="s">
        <v>13</v>
      </c>
      <c r="AD367" s="1" t="s">
        <v>9</v>
      </c>
      <c r="AE367" s="1" t="s">
        <v>30</v>
      </c>
      <c r="AF367" s="1" t="s">
        <v>10</v>
      </c>
      <c r="AG367" s="1" t="s">
        <v>11</v>
      </c>
      <c r="AH367" s="18" t="s">
        <v>32</v>
      </c>
      <c r="AI367" s="18" t="s">
        <v>37</v>
      </c>
      <c r="AJ367" s="1" t="s">
        <v>44</v>
      </c>
      <c r="AK367" s="7" t="s">
        <v>16</v>
      </c>
      <c r="AL367" s="8" t="s">
        <v>13</v>
      </c>
      <c r="AM367" s="1" t="s">
        <v>17</v>
      </c>
      <c r="AN367" s="8" t="s">
        <v>57</v>
      </c>
      <c r="AO367" s="8" t="s">
        <v>19</v>
      </c>
    </row>
    <row r="368" spans="1:41" ht="15" x14ac:dyDescent="0.25">
      <c r="A368" s="9" t="s">
        <v>20</v>
      </c>
      <c r="B368" s="10">
        <v>30984</v>
      </c>
      <c r="C368" s="10">
        <v>1279</v>
      </c>
      <c r="D368" s="10">
        <v>60000</v>
      </c>
      <c r="E368" s="10">
        <v>0</v>
      </c>
      <c r="F368" s="10">
        <v>17244</v>
      </c>
      <c r="G368" s="10">
        <v>8918</v>
      </c>
      <c r="H368" s="3">
        <v>0</v>
      </c>
      <c r="I368" s="25">
        <v>410</v>
      </c>
      <c r="J368" s="10">
        <v>1000</v>
      </c>
      <c r="K368" s="10">
        <v>188.34899999999999</v>
      </c>
      <c r="L368" s="10">
        <v>364825</v>
      </c>
      <c r="M368" s="10">
        <v>171</v>
      </c>
      <c r="N368" s="10">
        <v>0</v>
      </c>
      <c r="O368" s="10">
        <v>87</v>
      </c>
      <c r="P368" s="10">
        <v>49288</v>
      </c>
      <c r="Q368" s="10">
        <v>4107</v>
      </c>
      <c r="R368" s="10">
        <v>152</v>
      </c>
      <c r="S368" s="10">
        <v>816</v>
      </c>
      <c r="T368" s="10">
        <v>51</v>
      </c>
      <c r="U368" s="10">
        <v>100450</v>
      </c>
      <c r="V368" s="10">
        <v>32</v>
      </c>
      <c r="W368" s="10">
        <v>0</v>
      </c>
      <c r="X368" s="10">
        <v>75</v>
      </c>
      <c r="Y368" s="10">
        <v>49085</v>
      </c>
      <c r="Z368" s="10">
        <v>4090</v>
      </c>
      <c r="AA368" s="10">
        <v>27</v>
      </c>
      <c r="AB368" s="10">
        <v>907</v>
      </c>
      <c r="AC368" s="10">
        <v>51</v>
      </c>
      <c r="AD368" s="10">
        <v>264275</v>
      </c>
      <c r="AE368" s="10">
        <v>129</v>
      </c>
      <c r="AF368" s="10">
        <v>0</v>
      </c>
      <c r="AG368" s="19">
        <v>0</v>
      </c>
      <c r="AH368" s="20">
        <v>0</v>
      </c>
      <c r="AI368" s="20">
        <v>0</v>
      </c>
      <c r="AJ368" s="21">
        <v>0</v>
      </c>
      <c r="AK368" s="10">
        <v>0</v>
      </c>
      <c r="AL368" s="10">
        <v>0</v>
      </c>
      <c r="AM368" s="10">
        <v>14310</v>
      </c>
      <c r="AN368" s="10">
        <v>980</v>
      </c>
      <c r="AO368" s="26">
        <v>85</v>
      </c>
    </row>
    <row r="369" spans="1:41" ht="15" x14ac:dyDescent="0.25">
      <c r="A369" s="9" t="s">
        <v>21</v>
      </c>
      <c r="B369" s="10">
        <v>40500</v>
      </c>
      <c r="C369" s="10">
        <f>SUM(8342+8669+6010-1260-112-1250-100-1260-112-400)</f>
        <v>18527</v>
      </c>
      <c r="D369" s="10">
        <v>0</v>
      </c>
      <c r="E369" s="10">
        <v>0</v>
      </c>
      <c r="F369" s="10">
        <v>0</v>
      </c>
      <c r="G369" s="10">
        <f>SUM(2840+1800+2000-100)</f>
        <v>6540</v>
      </c>
      <c r="H369" s="2">
        <v>0</v>
      </c>
      <c r="I369" s="10">
        <v>0</v>
      </c>
      <c r="J369" s="10">
        <f>SUM(290*50)</f>
        <v>14500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f>SUM(9050+9050+8175)</f>
        <v>26275</v>
      </c>
      <c r="AE369" s="10">
        <v>0</v>
      </c>
      <c r="AF369" s="10">
        <v>0</v>
      </c>
      <c r="AG369" s="19">
        <v>0</v>
      </c>
      <c r="AH369" s="20">
        <v>0</v>
      </c>
      <c r="AI369" s="20">
        <v>0</v>
      </c>
      <c r="AJ369" s="21">
        <v>0</v>
      </c>
      <c r="AK369" s="10">
        <v>0</v>
      </c>
      <c r="AL369" s="10">
        <v>0</v>
      </c>
      <c r="AM369" s="10">
        <v>0</v>
      </c>
      <c r="AN369" s="19">
        <v>0</v>
      </c>
      <c r="AO369" s="20">
        <v>0</v>
      </c>
    </row>
    <row r="370" spans="1:41" ht="15" x14ac:dyDescent="0.25">
      <c r="A370" s="11" t="s">
        <v>22</v>
      </c>
      <c r="B370" s="12">
        <v>8342</v>
      </c>
      <c r="C370" s="17">
        <v>5832</v>
      </c>
      <c r="D370" s="12">
        <v>5840</v>
      </c>
      <c r="E370" s="12">
        <v>0</v>
      </c>
      <c r="F370" s="12">
        <v>2891</v>
      </c>
      <c r="G370" s="12">
        <v>2268</v>
      </c>
      <c r="H370" s="4">
        <v>0</v>
      </c>
      <c r="I370" s="12">
        <v>0</v>
      </c>
      <c r="J370" s="12">
        <v>900</v>
      </c>
      <c r="K370" s="12">
        <v>4.5</v>
      </c>
      <c r="L370" s="12">
        <v>9050</v>
      </c>
      <c r="M370" s="12">
        <v>0</v>
      </c>
      <c r="N370" s="12">
        <v>0</v>
      </c>
      <c r="O370" s="12">
        <v>0</v>
      </c>
      <c r="P370" s="10">
        <v>0</v>
      </c>
      <c r="Q370" s="10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22">
        <v>0</v>
      </c>
      <c r="AH370" s="20">
        <v>0</v>
      </c>
      <c r="AI370" s="20">
        <v>0</v>
      </c>
      <c r="AJ370" s="23">
        <v>0</v>
      </c>
      <c r="AK370" s="12">
        <v>0</v>
      </c>
      <c r="AL370" s="12">
        <v>0</v>
      </c>
      <c r="AM370" s="12">
        <v>1260</v>
      </c>
      <c r="AN370" s="12">
        <v>142</v>
      </c>
      <c r="AO370" s="17">
        <v>7</v>
      </c>
    </row>
    <row r="371" spans="1:41" ht="15" x14ac:dyDescent="0.25">
      <c r="A371" s="13" t="s">
        <v>46</v>
      </c>
      <c r="B371" s="10">
        <v>8669</v>
      </c>
      <c r="C371" s="10">
        <v>5832</v>
      </c>
      <c r="D371" s="10">
        <v>0</v>
      </c>
      <c r="E371" s="10">
        <v>0</v>
      </c>
      <c r="F371" s="10">
        <v>1854</v>
      </c>
      <c r="G371" s="10">
        <v>2268</v>
      </c>
      <c r="H371" s="2">
        <v>0</v>
      </c>
      <c r="I371" s="10">
        <v>0</v>
      </c>
      <c r="J371" s="10">
        <v>900</v>
      </c>
      <c r="K371" s="10">
        <v>4.5</v>
      </c>
      <c r="L371" s="10">
        <v>9050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24">
        <v>0</v>
      </c>
      <c r="AI371" s="24">
        <v>0</v>
      </c>
      <c r="AJ371" s="10">
        <v>0</v>
      </c>
      <c r="AK371" s="10">
        <v>0</v>
      </c>
      <c r="AL371" s="10">
        <v>0</v>
      </c>
      <c r="AM371" s="10">
        <v>1250</v>
      </c>
      <c r="AN371" s="10">
        <v>130</v>
      </c>
      <c r="AO371" s="15">
        <v>8</v>
      </c>
    </row>
    <row r="372" spans="1:41" ht="15" x14ac:dyDescent="0.25">
      <c r="A372" s="13" t="s">
        <v>47</v>
      </c>
      <c r="B372" s="10">
        <v>6010</v>
      </c>
      <c r="C372" s="10">
        <v>5184</v>
      </c>
      <c r="D372" s="10">
        <v>0</v>
      </c>
      <c r="E372" s="10">
        <v>0</v>
      </c>
      <c r="F372" s="10">
        <v>2040</v>
      </c>
      <c r="G372" s="10">
        <v>2016</v>
      </c>
      <c r="H372" s="2">
        <v>0</v>
      </c>
      <c r="I372" s="10">
        <v>0</v>
      </c>
      <c r="J372" s="10">
        <v>800</v>
      </c>
      <c r="K372" s="10">
        <v>4</v>
      </c>
      <c r="L372" s="10">
        <v>8175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24">
        <v>0</v>
      </c>
      <c r="AI372" s="24">
        <v>0</v>
      </c>
      <c r="AJ372" s="10">
        <v>0</v>
      </c>
      <c r="AK372" s="10">
        <v>0</v>
      </c>
      <c r="AL372" s="10">
        <v>0</v>
      </c>
      <c r="AM372" s="10">
        <v>1260</v>
      </c>
      <c r="AN372" s="10">
        <v>163</v>
      </c>
      <c r="AO372" s="15">
        <v>9</v>
      </c>
    </row>
    <row r="373" spans="1:41" ht="15" x14ac:dyDescent="0.25">
      <c r="A373" s="14" t="s">
        <v>24</v>
      </c>
      <c r="B373" s="10">
        <f t="shared" ref="B373:K373" si="75">SUM(B368+B369-B370-B371-B372)</f>
        <v>48463</v>
      </c>
      <c r="C373" s="10">
        <f t="shared" si="75"/>
        <v>2958</v>
      </c>
      <c r="D373" s="10">
        <f t="shared" si="75"/>
        <v>54160</v>
      </c>
      <c r="E373" s="10">
        <f t="shared" si="75"/>
        <v>0</v>
      </c>
      <c r="F373" s="10">
        <f t="shared" si="75"/>
        <v>10459</v>
      </c>
      <c r="G373" s="10">
        <f t="shared" si="75"/>
        <v>8906</v>
      </c>
      <c r="H373" s="2">
        <f t="shared" si="75"/>
        <v>0</v>
      </c>
      <c r="I373" s="10">
        <f t="shared" si="75"/>
        <v>410</v>
      </c>
      <c r="J373" s="10">
        <f t="shared" si="75"/>
        <v>12900</v>
      </c>
      <c r="K373" s="10">
        <f t="shared" si="75"/>
        <v>175.34899999999999</v>
      </c>
      <c r="L373" s="10">
        <f>SUM(L368+L370+L371+L372)</f>
        <v>391100</v>
      </c>
      <c r="M373" s="10">
        <f>SUM(M368+M369+M370+M371+M372)</f>
        <v>171</v>
      </c>
      <c r="N373" s="10">
        <f>SUM(N368+N369-N370-N371-N372)</f>
        <v>0</v>
      </c>
      <c r="O373" s="10">
        <f>SUM(O368+O369-O370-O371-O372)</f>
        <v>87</v>
      </c>
      <c r="P373" s="10">
        <f>SUM(P368+P369+P370+P372)</f>
        <v>49288</v>
      </c>
      <c r="Q373" s="10">
        <f>SUM(Q368-Q369+Q370+Q371+Q372)</f>
        <v>4107</v>
      </c>
      <c r="R373" s="10">
        <f>SUM(R368-R369+R370+R371+R372)</f>
        <v>152</v>
      </c>
      <c r="S373" s="10">
        <f>SUM(S368-S369+S370+S371+S372)</f>
        <v>816</v>
      </c>
      <c r="T373" s="10">
        <f>SUM(T368+T369+T370+T371+T372)</f>
        <v>51</v>
      </c>
      <c r="U373" s="10">
        <f>SUM(U368+U369-U370-U371-U372)</f>
        <v>100450</v>
      </c>
      <c r="V373" s="10">
        <f>SUM(V368+V369-V370-V371-V372)</f>
        <v>32</v>
      </c>
      <c r="W373" s="10">
        <f>SUM(W368+W369-W370-W371-W372)</f>
        <v>0</v>
      </c>
      <c r="X373" s="10">
        <f>SUM(X368+X369-X370-X371-X372)</f>
        <v>75</v>
      </c>
      <c r="Y373" s="10">
        <f>SUM(Y368+Y369+Y370+Y371+Y372)</f>
        <v>49085</v>
      </c>
      <c r="Z373" s="10">
        <f>SUM(Z368+Z369+Z370+Z371+Z372)</f>
        <v>4090</v>
      </c>
      <c r="AA373" s="10">
        <f>SUM(AA368+AA369+AA370+AA371+AA372)</f>
        <v>27</v>
      </c>
      <c r="AB373" s="10">
        <f>SUM(AB368-AB369+AB370+AB371+AB372)</f>
        <v>907</v>
      </c>
      <c r="AC373" s="10">
        <f t="shared" ref="AC373:AL373" si="76">SUM(AC368+AC369-AC370-AC371-AC372)</f>
        <v>51</v>
      </c>
      <c r="AD373" s="10">
        <f t="shared" si="76"/>
        <v>290550</v>
      </c>
      <c r="AE373" s="10">
        <f t="shared" si="76"/>
        <v>129</v>
      </c>
      <c r="AF373" s="10">
        <f t="shared" si="76"/>
        <v>0</v>
      </c>
      <c r="AG373" s="10">
        <f t="shared" si="76"/>
        <v>0</v>
      </c>
      <c r="AH373" s="10">
        <f t="shared" si="76"/>
        <v>0</v>
      </c>
      <c r="AI373" s="10">
        <f t="shared" si="76"/>
        <v>0</v>
      </c>
      <c r="AJ373" s="10">
        <f t="shared" si="76"/>
        <v>0</v>
      </c>
      <c r="AK373" s="10">
        <f t="shared" si="76"/>
        <v>0</v>
      </c>
      <c r="AL373" s="10">
        <f t="shared" si="76"/>
        <v>0</v>
      </c>
      <c r="AM373" s="10">
        <f>SUM(AM368-AM369+AM370+AM371+AM372)</f>
        <v>18080</v>
      </c>
      <c r="AN373" s="10">
        <f>SUM(AN368-AN369+AN370+AN371+AN372)</f>
        <v>1415</v>
      </c>
      <c r="AO373" s="10">
        <f>SUM(AO368-AO369+AO370+AO371+AO372)</f>
        <v>109</v>
      </c>
    </row>
    <row r="376" spans="1:41" ht="18.75" x14ac:dyDescent="0.3">
      <c r="A376" s="16" t="s">
        <v>65</v>
      </c>
      <c r="B376" s="27" t="s">
        <v>26</v>
      </c>
      <c r="C376" s="27"/>
      <c r="D376" s="27"/>
      <c r="E376" s="27"/>
      <c r="F376" s="27"/>
      <c r="G376" s="27"/>
      <c r="H376" s="27"/>
      <c r="I376" s="27"/>
      <c r="J376" s="27"/>
      <c r="K376" s="27"/>
      <c r="L376" s="27" t="s">
        <v>29</v>
      </c>
      <c r="M376" s="27"/>
      <c r="N376" s="27"/>
      <c r="O376" s="27"/>
      <c r="P376" s="27"/>
      <c r="Q376" s="27"/>
      <c r="R376" s="27"/>
      <c r="S376" s="27"/>
      <c r="T376" s="27"/>
      <c r="U376" s="27" t="s">
        <v>28</v>
      </c>
      <c r="V376" s="27"/>
      <c r="W376" s="27"/>
      <c r="X376" s="27"/>
      <c r="Y376" s="27"/>
      <c r="Z376" s="27"/>
      <c r="AA376" s="27"/>
      <c r="AB376" s="27"/>
      <c r="AC376" s="27"/>
      <c r="AD376" s="27" t="s">
        <v>27</v>
      </c>
      <c r="AE376" s="27"/>
      <c r="AF376" s="27"/>
      <c r="AG376" s="27"/>
      <c r="AH376" s="27"/>
      <c r="AI376" s="27"/>
      <c r="AJ376" s="27"/>
      <c r="AK376" s="27"/>
      <c r="AL376" s="27"/>
      <c r="AM376" s="27" t="s">
        <v>25</v>
      </c>
      <c r="AN376" s="27"/>
      <c r="AO376" s="27"/>
    </row>
    <row r="377" spans="1:41" ht="15" x14ac:dyDescent="0.25">
      <c r="A377" s="5" t="s">
        <v>74</v>
      </c>
      <c r="B377" s="1" t="s">
        <v>0</v>
      </c>
      <c r="C377" s="1" t="s">
        <v>1</v>
      </c>
      <c r="D377" s="1" t="s">
        <v>2</v>
      </c>
      <c r="E377" s="1" t="s">
        <v>3</v>
      </c>
      <c r="F377" s="1" t="s">
        <v>4</v>
      </c>
      <c r="G377" s="1" t="s">
        <v>5</v>
      </c>
      <c r="H377" s="1" t="s">
        <v>33</v>
      </c>
      <c r="I377" s="1" t="s">
        <v>6</v>
      </c>
      <c r="J377" s="1" t="s">
        <v>7</v>
      </c>
      <c r="K377" s="1" t="s">
        <v>8</v>
      </c>
      <c r="L377" s="1" t="s">
        <v>9</v>
      </c>
      <c r="M377" s="1" t="s">
        <v>30</v>
      </c>
      <c r="N377" s="1" t="s">
        <v>10</v>
      </c>
      <c r="O377" s="1" t="s">
        <v>11</v>
      </c>
      <c r="P377" s="1" t="s">
        <v>32</v>
      </c>
      <c r="Q377" s="1" t="s">
        <v>37</v>
      </c>
      <c r="R377" s="1" t="s">
        <v>31</v>
      </c>
      <c r="S377" s="6" t="s">
        <v>12</v>
      </c>
      <c r="T377" s="6" t="s">
        <v>13</v>
      </c>
      <c r="U377" s="6" t="s">
        <v>14</v>
      </c>
      <c r="V377" s="1" t="s">
        <v>30</v>
      </c>
      <c r="W377" s="6" t="s">
        <v>10</v>
      </c>
      <c r="X377" s="6" t="s">
        <v>15</v>
      </c>
      <c r="Y377" s="1" t="s">
        <v>32</v>
      </c>
      <c r="Z377" s="1" t="s">
        <v>37</v>
      </c>
      <c r="AA377" s="1" t="s">
        <v>31</v>
      </c>
      <c r="AB377" s="1" t="s">
        <v>12</v>
      </c>
      <c r="AC377" s="1" t="s">
        <v>13</v>
      </c>
      <c r="AD377" s="1" t="s">
        <v>9</v>
      </c>
      <c r="AE377" s="1" t="s">
        <v>30</v>
      </c>
      <c r="AF377" s="1" t="s">
        <v>10</v>
      </c>
      <c r="AG377" s="1" t="s">
        <v>11</v>
      </c>
      <c r="AH377" s="18" t="s">
        <v>32</v>
      </c>
      <c r="AI377" s="18" t="s">
        <v>37</v>
      </c>
      <c r="AJ377" s="1" t="s">
        <v>44</v>
      </c>
      <c r="AK377" s="7" t="s">
        <v>16</v>
      </c>
      <c r="AL377" s="8" t="s">
        <v>13</v>
      </c>
      <c r="AM377" s="1" t="s">
        <v>17</v>
      </c>
      <c r="AN377" s="8" t="s">
        <v>57</v>
      </c>
      <c r="AO377" s="8" t="s">
        <v>19</v>
      </c>
    </row>
    <row r="378" spans="1:41" ht="15" x14ac:dyDescent="0.25">
      <c r="A378" s="9" t="s">
        <v>20</v>
      </c>
      <c r="B378" s="10">
        <v>48463</v>
      </c>
      <c r="C378" s="10">
        <v>2958</v>
      </c>
      <c r="D378" s="10">
        <v>54160</v>
      </c>
      <c r="E378" s="10">
        <v>0</v>
      </c>
      <c r="F378" s="10">
        <v>10459</v>
      </c>
      <c r="G378" s="10">
        <v>8906</v>
      </c>
      <c r="H378" s="3">
        <v>0</v>
      </c>
      <c r="I378" s="25">
        <v>410</v>
      </c>
      <c r="J378" s="10">
        <v>12900</v>
      </c>
      <c r="K378" s="10">
        <v>175.34899999999999</v>
      </c>
      <c r="L378" s="10">
        <v>391100</v>
      </c>
      <c r="M378" s="10">
        <v>171</v>
      </c>
      <c r="N378" s="10">
        <v>0</v>
      </c>
      <c r="O378" s="10">
        <v>87</v>
      </c>
      <c r="P378" s="10">
        <v>49288</v>
      </c>
      <c r="Q378" s="10">
        <v>4107</v>
      </c>
      <c r="R378" s="10">
        <v>152</v>
      </c>
      <c r="S378" s="10">
        <v>816</v>
      </c>
      <c r="T378" s="10">
        <v>51</v>
      </c>
      <c r="U378" s="10">
        <v>100450</v>
      </c>
      <c r="V378" s="10">
        <v>32</v>
      </c>
      <c r="W378" s="10">
        <v>0</v>
      </c>
      <c r="X378" s="10">
        <v>75</v>
      </c>
      <c r="Y378" s="10">
        <v>49085</v>
      </c>
      <c r="Z378" s="10">
        <v>4090</v>
      </c>
      <c r="AA378" s="10">
        <v>27</v>
      </c>
      <c r="AB378" s="10">
        <v>907</v>
      </c>
      <c r="AC378" s="10">
        <v>51</v>
      </c>
      <c r="AD378" s="10">
        <v>290550</v>
      </c>
      <c r="AE378" s="10">
        <v>129</v>
      </c>
      <c r="AF378" s="10">
        <v>0</v>
      </c>
      <c r="AG378" s="19">
        <v>0</v>
      </c>
      <c r="AH378" s="20">
        <v>0</v>
      </c>
      <c r="AI378" s="20">
        <v>0</v>
      </c>
      <c r="AJ378" s="21">
        <v>0</v>
      </c>
      <c r="AK378" s="10">
        <v>0</v>
      </c>
      <c r="AL378" s="10">
        <v>0</v>
      </c>
      <c r="AM378" s="10">
        <v>18080</v>
      </c>
      <c r="AN378" s="10">
        <v>1415</v>
      </c>
      <c r="AO378" s="26">
        <v>109</v>
      </c>
    </row>
    <row r="379" spans="1:41" ht="15" x14ac:dyDescent="0.25">
      <c r="A379" s="9" t="s">
        <v>21</v>
      </c>
      <c r="B379" s="10">
        <f>SUM(245*90)</f>
        <v>22050</v>
      </c>
      <c r="C379" s="10">
        <f>SUM(7699+5979+2421-1320-1070-394-163-90-14-400)</f>
        <v>12648</v>
      </c>
      <c r="D379" s="10">
        <v>0</v>
      </c>
      <c r="E379" s="10">
        <v>0</v>
      </c>
      <c r="F379" s="10">
        <v>0</v>
      </c>
      <c r="G379" s="10">
        <v>1105</v>
      </c>
      <c r="H379" s="2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14750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f>SUM(9050+7000)</f>
        <v>16050</v>
      </c>
      <c r="AE379" s="10">
        <v>0</v>
      </c>
      <c r="AF379" s="10">
        <v>0</v>
      </c>
      <c r="AG379" s="19">
        <v>0</v>
      </c>
      <c r="AH379" s="20">
        <v>0</v>
      </c>
      <c r="AI379" s="20">
        <v>0</v>
      </c>
      <c r="AJ379" s="21">
        <v>0</v>
      </c>
      <c r="AK379" s="10">
        <v>0</v>
      </c>
      <c r="AL379" s="10">
        <v>0</v>
      </c>
      <c r="AM379" s="10">
        <v>5830</v>
      </c>
      <c r="AN379" s="19">
        <v>0</v>
      </c>
      <c r="AO379" s="20">
        <v>0</v>
      </c>
    </row>
    <row r="380" spans="1:41" ht="15" x14ac:dyDescent="0.25">
      <c r="A380" s="11" t="s">
        <v>22</v>
      </c>
      <c r="B380" s="12">
        <v>7699</v>
      </c>
      <c r="C380" s="17">
        <v>5832</v>
      </c>
      <c r="D380" s="12">
        <v>39240</v>
      </c>
      <c r="E380" s="12">
        <v>0</v>
      </c>
      <c r="F380" s="12">
        <v>700</v>
      </c>
      <c r="G380" s="12">
        <v>2268</v>
      </c>
      <c r="H380" s="4">
        <v>0</v>
      </c>
      <c r="I380" s="12">
        <v>0</v>
      </c>
      <c r="J380" s="12">
        <v>900</v>
      </c>
      <c r="K380" s="12">
        <v>4.5</v>
      </c>
      <c r="L380" s="12">
        <v>9050</v>
      </c>
      <c r="M380" s="12">
        <v>0</v>
      </c>
      <c r="N380" s="12">
        <v>0</v>
      </c>
      <c r="O380" s="12">
        <v>0</v>
      </c>
      <c r="P380" s="10">
        <v>0</v>
      </c>
      <c r="Q380" s="10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f>SUM(590*25)</f>
        <v>14750</v>
      </c>
      <c r="AE380" s="12">
        <v>0</v>
      </c>
      <c r="AF380" s="12">
        <v>0</v>
      </c>
      <c r="AG380" s="22">
        <v>0</v>
      </c>
      <c r="AH380" s="20">
        <v>0</v>
      </c>
      <c r="AI380" s="20">
        <v>0</v>
      </c>
      <c r="AJ380" s="23">
        <v>0</v>
      </c>
      <c r="AK380" s="12">
        <v>0</v>
      </c>
      <c r="AL380" s="12">
        <v>0</v>
      </c>
      <c r="AM380" s="12">
        <v>1320</v>
      </c>
      <c r="AN380" s="12">
        <v>177</v>
      </c>
      <c r="AO380" s="17">
        <v>700</v>
      </c>
    </row>
    <row r="381" spans="1:41" ht="15" x14ac:dyDescent="0.25">
      <c r="A381" s="13" t="s">
        <v>46</v>
      </c>
      <c r="B381" s="10">
        <v>5979</v>
      </c>
      <c r="C381" s="10">
        <v>4536</v>
      </c>
      <c r="D381" s="10">
        <v>0</v>
      </c>
      <c r="E381" s="10">
        <v>0</v>
      </c>
      <c r="F381" s="10">
        <v>0</v>
      </c>
      <c r="G381" s="10">
        <v>1764</v>
      </c>
      <c r="H381" s="2">
        <v>0</v>
      </c>
      <c r="I381" s="10">
        <v>0</v>
      </c>
      <c r="J381" s="10">
        <v>700</v>
      </c>
      <c r="K381" s="10">
        <v>3.5</v>
      </c>
      <c r="L381" s="10">
        <v>7000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24">
        <v>0</v>
      </c>
      <c r="AI381" s="24">
        <v>0</v>
      </c>
      <c r="AJ381" s="10">
        <v>0</v>
      </c>
      <c r="AK381" s="10">
        <v>0</v>
      </c>
      <c r="AL381" s="10">
        <v>0</v>
      </c>
      <c r="AM381" s="10">
        <v>1070</v>
      </c>
      <c r="AN381" s="10">
        <v>100</v>
      </c>
      <c r="AO381" s="15">
        <v>7</v>
      </c>
    </row>
    <row r="382" spans="1:41" ht="15" x14ac:dyDescent="0.25">
      <c r="A382" s="13" t="s">
        <v>47</v>
      </c>
      <c r="B382" s="10">
        <v>2421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2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24">
        <v>0</v>
      </c>
      <c r="AI382" s="24">
        <v>0</v>
      </c>
      <c r="AJ382" s="10">
        <v>0</v>
      </c>
      <c r="AK382" s="10">
        <v>0</v>
      </c>
      <c r="AL382" s="10">
        <v>0</v>
      </c>
      <c r="AM382" s="10">
        <v>394</v>
      </c>
      <c r="AN382" s="10">
        <v>38</v>
      </c>
      <c r="AO382" s="15">
        <v>10</v>
      </c>
    </row>
    <row r="383" spans="1:41" ht="15" x14ac:dyDescent="0.25">
      <c r="A383" s="14" t="s">
        <v>24</v>
      </c>
      <c r="B383" s="10">
        <f>SUM(B378+B379-B380-B381-B382)</f>
        <v>54414</v>
      </c>
      <c r="C383" s="10">
        <f>SUM(C378+C379-C380-C381-C382)</f>
        <v>5238</v>
      </c>
      <c r="D383" s="10">
        <f>SUM(D378+D379-D380-D381-D382)</f>
        <v>14920</v>
      </c>
      <c r="E383" s="10">
        <f>SUM(E378+E379-E380-E381-E382)</f>
        <v>0</v>
      </c>
      <c r="F383" s="10">
        <f>SUM(F378+F379-F380-F381-F382)</f>
        <v>9759</v>
      </c>
      <c r="G383" s="10">
        <f>SUM(G378-G379-G380-G381-G382)</f>
        <v>3769</v>
      </c>
      <c r="H383" s="2">
        <f>SUM(H378+H379-H380-H381-H382)</f>
        <v>0</v>
      </c>
      <c r="I383" s="10">
        <f>SUM(I378+I379-I380-I381-I382)</f>
        <v>410</v>
      </c>
      <c r="J383" s="10">
        <f>SUM(J378+J379-J380-J381-J382)</f>
        <v>11300</v>
      </c>
      <c r="K383" s="10">
        <f>SUM(K378+K379-K380-K381-K382)</f>
        <v>167.34899999999999</v>
      </c>
      <c r="L383" s="10">
        <f>SUM(L378+L380+L381+L382)</f>
        <v>407150</v>
      </c>
      <c r="M383" s="10">
        <f>SUM(M378+M379+M380+M381+M382)</f>
        <v>171</v>
      </c>
      <c r="N383" s="10">
        <f>SUM(N378+N379-N380-N381-N382)</f>
        <v>0</v>
      </c>
      <c r="O383" s="10">
        <f>SUM(O378+O379-O380-O381-O382)</f>
        <v>87</v>
      </c>
      <c r="P383" s="10">
        <f>SUM(P378+P379+P380+P382)</f>
        <v>49288</v>
      </c>
      <c r="Q383" s="10">
        <f>SUM(Q378-Q379+Q380+Q381+Q382)</f>
        <v>4107</v>
      </c>
      <c r="R383" s="10">
        <f>SUM(R378-R379+R380+R381+R382)</f>
        <v>152</v>
      </c>
      <c r="S383" s="10">
        <f>SUM(S378-S379+S380+S381+S382)</f>
        <v>816</v>
      </c>
      <c r="T383" s="10">
        <f>SUM(T378+T379+T380+T381+T382)</f>
        <v>51</v>
      </c>
      <c r="U383" s="10">
        <f>SUM(U378+U379-U380-U381-U382)</f>
        <v>115200</v>
      </c>
      <c r="V383" s="10">
        <f>SUM(V378+V379-V380-V381-V382)</f>
        <v>32</v>
      </c>
      <c r="W383" s="10">
        <f>SUM(W378+W379-W380-W381-W382)</f>
        <v>0</v>
      </c>
      <c r="X383" s="10">
        <f>SUM(X378+X379-X380-X381-X382)</f>
        <v>75</v>
      </c>
      <c r="Y383" s="10">
        <f>SUM(Y378+Y379+Y380+Y381+Y382)</f>
        <v>49085</v>
      </c>
      <c r="Z383" s="10">
        <f>SUM(Z378+Z379+Z380+Z381+Z382)</f>
        <v>4090</v>
      </c>
      <c r="AA383" s="10">
        <f>SUM(AA378+AA379+AA380+AA381+AA382)</f>
        <v>27</v>
      </c>
      <c r="AB383" s="10">
        <f>SUM(AB378-AB379+AB380+AB381+AB382)</f>
        <v>907</v>
      </c>
      <c r="AC383" s="10">
        <f>SUM(AC378+AC379-AC380-AC381-AC382)</f>
        <v>51</v>
      </c>
      <c r="AD383" s="10">
        <f>SUM(AD378+AD379-AD380)</f>
        <v>291850</v>
      </c>
      <c r="AE383" s="10">
        <f t="shared" ref="AE383:AL383" si="77">SUM(AE378+AE379-AE380-AE381-AE382)</f>
        <v>129</v>
      </c>
      <c r="AF383" s="10">
        <f t="shared" si="77"/>
        <v>0</v>
      </c>
      <c r="AG383" s="10">
        <f t="shared" si="77"/>
        <v>0</v>
      </c>
      <c r="AH383" s="10">
        <f t="shared" si="77"/>
        <v>0</v>
      </c>
      <c r="AI383" s="10">
        <f t="shared" si="77"/>
        <v>0</v>
      </c>
      <c r="AJ383" s="10">
        <f t="shared" si="77"/>
        <v>0</v>
      </c>
      <c r="AK383" s="10">
        <f t="shared" si="77"/>
        <v>0</v>
      </c>
      <c r="AL383" s="10">
        <f t="shared" si="77"/>
        <v>0</v>
      </c>
      <c r="AM383" s="10">
        <f>SUM(AM378-AM379+AM380+AM381+AM382)</f>
        <v>15034</v>
      </c>
      <c r="AN383" s="10">
        <f>SUM(AN378-AN379+AN380+AN381+AN382)</f>
        <v>1730</v>
      </c>
      <c r="AO383" s="10">
        <f>SUM(AO378-AO379+AO380+AO381+AO382)</f>
        <v>826</v>
      </c>
    </row>
    <row r="386" spans="1:41" ht="18.75" x14ac:dyDescent="0.3">
      <c r="A386" s="16" t="s">
        <v>66</v>
      </c>
      <c r="B386" s="27" t="s">
        <v>26</v>
      </c>
      <c r="C386" s="27"/>
      <c r="D386" s="27"/>
      <c r="E386" s="27"/>
      <c r="F386" s="27"/>
      <c r="G386" s="27"/>
      <c r="H386" s="27"/>
      <c r="I386" s="27"/>
      <c r="J386" s="27"/>
      <c r="K386" s="27"/>
      <c r="L386" s="27" t="s">
        <v>29</v>
      </c>
      <c r="M386" s="27"/>
      <c r="N386" s="27"/>
      <c r="O386" s="27"/>
      <c r="P386" s="27"/>
      <c r="Q386" s="27"/>
      <c r="R386" s="27"/>
      <c r="S386" s="27"/>
      <c r="T386" s="27"/>
      <c r="U386" s="27" t="s">
        <v>28</v>
      </c>
      <c r="V386" s="27"/>
      <c r="W386" s="27"/>
      <c r="X386" s="27"/>
      <c r="Y386" s="27"/>
      <c r="Z386" s="27"/>
      <c r="AA386" s="27"/>
      <c r="AB386" s="27"/>
      <c r="AC386" s="27"/>
      <c r="AD386" s="27" t="s">
        <v>27</v>
      </c>
      <c r="AE386" s="27"/>
      <c r="AF386" s="27"/>
      <c r="AG386" s="27"/>
      <c r="AH386" s="27"/>
      <c r="AI386" s="27"/>
      <c r="AJ386" s="27"/>
      <c r="AK386" s="27"/>
      <c r="AL386" s="27"/>
      <c r="AM386" s="27" t="s">
        <v>25</v>
      </c>
      <c r="AN386" s="27"/>
      <c r="AO386" s="27"/>
    </row>
    <row r="387" spans="1:41" ht="15" x14ac:dyDescent="0.25">
      <c r="A387" s="5" t="s">
        <v>74</v>
      </c>
      <c r="B387" s="1" t="s">
        <v>0</v>
      </c>
      <c r="C387" s="1" t="s">
        <v>1</v>
      </c>
      <c r="D387" s="1" t="s">
        <v>2</v>
      </c>
      <c r="E387" s="1" t="s">
        <v>3</v>
      </c>
      <c r="F387" s="1" t="s">
        <v>4</v>
      </c>
      <c r="G387" s="1" t="s">
        <v>5</v>
      </c>
      <c r="H387" s="1" t="s">
        <v>33</v>
      </c>
      <c r="I387" s="1" t="s">
        <v>6</v>
      </c>
      <c r="J387" s="1" t="s">
        <v>7</v>
      </c>
      <c r="K387" s="1" t="s">
        <v>8</v>
      </c>
      <c r="L387" s="1" t="s">
        <v>9</v>
      </c>
      <c r="M387" s="1" t="s">
        <v>30</v>
      </c>
      <c r="N387" s="1" t="s">
        <v>10</v>
      </c>
      <c r="O387" s="1" t="s">
        <v>11</v>
      </c>
      <c r="P387" s="1" t="s">
        <v>32</v>
      </c>
      <c r="Q387" s="1" t="s">
        <v>37</v>
      </c>
      <c r="R387" s="1" t="s">
        <v>31</v>
      </c>
      <c r="S387" s="6" t="s">
        <v>12</v>
      </c>
      <c r="T387" s="6" t="s">
        <v>13</v>
      </c>
      <c r="U387" s="6" t="s">
        <v>14</v>
      </c>
      <c r="V387" s="1" t="s">
        <v>30</v>
      </c>
      <c r="W387" s="6" t="s">
        <v>10</v>
      </c>
      <c r="X387" s="6" t="s">
        <v>15</v>
      </c>
      <c r="Y387" s="1" t="s">
        <v>32</v>
      </c>
      <c r="Z387" s="1" t="s">
        <v>37</v>
      </c>
      <c r="AA387" s="1" t="s">
        <v>31</v>
      </c>
      <c r="AB387" s="1" t="s">
        <v>12</v>
      </c>
      <c r="AC387" s="1" t="s">
        <v>13</v>
      </c>
      <c r="AD387" s="1" t="s">
        <v>9</v>
      </c>
      <c r="AE387" s="1" t="s">
        <v>30</v>
      </c>
      <c r="AF387" s="1" t="s">
        <v>10</v>
      </c>
      <c r="AG387" s="1" t="s">
        <v>11</v>
      </c>
      <c r="AH387" s="18" t="s">
        <v>32</v>
      </c>
      <c r="AI387" s="18" t="s">
        <v>37</v>
      </c>
      <c r="AJ387" s="1" t="s">
        <v>44</v>
      </c>
      <c r="AK387" s="7" t="s">
        <v>16</v>
      </c>
      <c r="AL387" s="8" t="s">
        <v>13</v>
      </c>
      <c r="AM387" s="1" t="s">
        <v>17</v>
      </c>
      <c r="AN387" s="8" t="s">
        <v>57</v>
      </c>
      <c r="AO387" s="8" t="s">
        <v>19</v>
      </c>
    </row>
    <row r="388" spans="1:41" ht="15" x14ac:dyDescent="0.25">
      <c r="A388" s="9" t="s">
        <v>20</v>
      </c>
      <c r="B388" s="10">
        <v>54414</v>
      </c>
      <c r="C388" s="10">
        <v>5238</v>
      </c>
      <c r="D388" s="10">
        <v>14920</v>
      </c>
      <c r="E388" s="10">
        <v>0</v>
      </c>
      <c r="F388" s="10">
        <v>9759</v>
      </c>
      <c r="G388" s="10">
        <v>3769</v>
      </c>
      <c r="H388" s="3">
        <v>0</v>
      </c>
      <c r="I388" s="25">
        <v>410</v>
      </c>
      <c r="J388" s="10">
        <v>11300</v>
      </c>
      <c r="K388" s="10">
        <v>167.34899999999999</v>
      </c>
      <c r="L388" s="10">
        <v>407150</v>
      </c>
      <c r="M388" s="10">
        <v>171</v>
      </c>
      <c r="N388" s="10">
        <v>0</v>
      </c>
      <c r="O388" s="10">
        <v>87</v>
      </c>
      <c r="P388" s="10">
        <v>49288</v>
      </c>
      <c r="Q388" s="10">
        <v>4107</v>
      </c>
      <c r="R388" s="10">
        <v>152</v>
      </c>
      <c r="S388" s="10">
        <v>816</v>
      </c>
      <c r="T388" s="10">
        <v>51</v>
      </c>
      <c r="U388" s="10">
        <v>115200</v>
      </c>
      <c r="V388" s="10">
        <v>32</v>
      </c>
      <c r="W388" s="10">
        <v>0</v>
      </c>
      <c r="X388" s="10">
        <v>75</v>
      </c>
      <c r="Y388" s="10">
        <v>49085</v>
      </c>
      <c r="Z388" s="10">
        <v>4090</v>
      </c>
      <c r="AA388" s="10">
        <v>27</v>
      </c>
      <c r="AB388" s="10">
        <v>907</v>
      </c>
      <c r="AC388" s="10">
        <v>51</v>
      </c>
      <c r="AD388" s="10">
        <v>291850</v>
      </c>
      <c r="AE388" s="10">
        <v>129</v>
      </c>
      <c r="AF388" s="10">
        <v>0</v>
      </c>
      <c r="AG388" s="19">
        <v>0</v>
      </c>
      <c r="AH388" s="20">
        <v>0</v>
      </c>
      <c r="AI388" s="20">
        <v>0</v>
      </c>
      <c r="AJ388" s="21">
        <v>0</v>
      </c>
      <c r="AK388" s="10">
        <v>0</v>
      </c>
      <c r="AL388" s="10">
        <v>0</v>
      </c>
      <c r="AM388" s="10">
        <v>15034</v>
      </c>
      <c r="AN388" s="10">
        <v>1730</v>
      </c>
      <c r="AO388" s="26">
        <v>826</v>
      </c>
    </row>
    <row r="389" spans="1:41" ht="15" x14ac:dyDescent="0.25">
      <c r="A389" s="9" t="s">
        <v>21</v>
      </c>
      <c r="B389" s="10">
        <v>12600</v>
      </c>
      <c r="C389" s="10">
        <f>SUM(6997+5571+8156-1328-1020-1764-136-80-99-400)</f>
        <v>15897</v>
      </c>
      <c r="D389" s="10">
        <v>0</v>
      </c>
      <c r="E389" s="10">
        <v>0</v>
      </c>
      <c r="F389" s="10">
        <v>0</v>
      </c>
      <c r="G389" s="10">
        <f>SUM(1860+1165+2000-50-50-50-100)</f>
        <v>4775</v>
      </c>
      <c r="H389" s="2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21475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f>11125+SUM(7000+8100)</f>
        <v>26225</v>
      </c>
      <c r="AE389" s="10">
        <v>0</v>
      </c>
      <c r="AF389" s="10">
        <v>0</v>
      </c>
      <c r="AG389" s="19">
        <v>0</v>
      </c>
      <c r="AH389" s="20">
        <v>0</v>
      </c>
      <c r="AI389" s="20">
        <v>0</v>
      </c>
      <c r="AJ389" s="21">
        <v>0</v>
      </c>
      <c r="AK389" s="10">
        <v>0</v>
      </c>
      <c r="AL389" s="10">
        <v>0</v>
      </c>
      <c r="AM389" s="10">
        <v>0</v>
      </c>
      <c r="AN389" s="19">
        <v>0</v>
      </c>
      <c r="AO389" s="20">
        <v>0</v>
      </c>
    </row>
    <row r="390" spans="1:41" ht="15" x14ac:dyDescent="0.25">
      <c r="A390" s="11" t="s">
        <v>22</v>
      </c>
      <c r="B390" s="12">
        <v>6997</v>
      </c>
      <c r="C390" s="17">
        <v>7128</v>
      </c>
      <c r="D390" s="12">
        <v>10980</v>
      </c>
      <c r="E390" s="12">
        <v>0</v>
      </c>
      <c r="F390" s="12">
        <v>1860</v>
      </c>
      <c r="G390" s="12">
        <v>2772</v>
      </c>
      <c r="H390" s="4">
        <v>0</v>
      </c>
      <c r="I390" s="12">
        <v>0</v>
      </c>
      <c r="J390" s="12">
        <v>1100</v>
      </c>
      <c r="K390" s="12">
        <v>5.5</v>
      </c>
      <c r="L390" s="12">
        <v>11125</v>
      </c>
      <c r="M390" s="12">
        <v>0</v>
      </c>
      <c r="N390" s="12">
        <v>0</v>
      </c>
      <c r="O390" s="12">
        <v>0</v>
      </c>
      <c r="P390" s="10">
        <v>0</v>
      </c>
      <c r="Q390" s="10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f>SUM(859*25)</f>
        <v>21475</v>
      </c>
      <c r="AE390" s="12">
        <v>0</v>
      </c>
      <c r="AF390" s="12">
        <v>0</v>
      </c>
      <c r="AG390" s="22">
        <v>0</v>
      </c>
      <c r="AH390" s="20">
        <v>0</v>
      </c>
      <c r="AI390" s="20">
        <v>0</v>
      </c>
      <c r="AJ390" s="23">
        <v>0</v>
      </c>
      <c r="AK390" s="12">
        <v>0</v>
      </c>
      <c r="AL390" s="12">
        <v>0</v>
      </c>
      <c r="AM390" s="12">
        <v>1320</v>
      </c>
      <c r="AN390" s="12">
        <f>150+SUM(1105)</f>
        <v>1255</v>
      </c>
      <c r="AO390" s="17">
        <v>23</v>
      </c>
    </row>
    <row r="391" spans="1:41" ht="15" x14ac:dyDescent="0.25">
      <c r="A391" s="13" t="s">
        <v>46</v>
      </c>
      <c r="B391" s="10">
        <v>5571</v>
      </c>
      <c r="C391" s="10">
        <v>4536</v>
      </c>
      <c r="D391" s="10">
        <v>1800</v>
      </c>
      <c r="E391" s="10">
        <v>0</v>
      </c>
      <c r="F391" s="10">
        <v>1165</v>
      </c>
      <c r="G391" s="10">
        <v>1764</v>
      </c>
      <c r="H391" s="2">
        <v>0</v>
      </c>
      <c r="I391" s="10">
        <v>0</v>
      </c>
      <c r="J391" s="10">
        <v>700</v>
      </c>
      <c r="K391" s="10">
        <v>3.5</v>
      </c>
      <c r="L391" s="10">
        <v>7000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24">
        <v>0</v>
      </c>
      <c r="AI391" s="24">
        <v>0</v>
      </c>
      <c r="AJ391" s="10">
        <v>0</v>
      </c>
      <c r="AK391" s="10">
        <v>0</v>
      </c>
      <c r="AL391" s="10">
        <v>0</v>
      </c>
      <c r="AM391" s="10">
        <v>1020</v>
      </c>
      <c r="AN391" s="10">
        <v>104</v>
      </c>
      <c r="AO391" s="15">
        <v>10</v>
      </c>
    </row>
    <row r="392" spans="1:41" ht="15" x14ac:dyDescent="0.25">
      <c r="A392" s="13" t="s">
        <v>47</v>
      </c>
      <c r="B392" s="10">
        <v>8156</v>
      </c>
      <c r="C392" s="10">
        <v>5184</v>
      </c>
      <c r="D392" s="10">
        <v>0</v>
      </c>
      <c r="E392" s="10">
        <v>0</v>
      </c>
      <c r="F392" s="10">
        <v>2000</v>
      </c>
      <c r="G392" s="10">
        <v>2016</v>
      </c>
      <c r="H392" s="2">
        <v>0</v>
      </c>
      <c r="I392" s="10">
        <v>0</v>
      </c>
      <c r="J392" s="10">
        <v>800</v>
      </c>
      <c r="K392" s="10">
        <v>4</v>
      </c>
      <c r="L392" s="10">
        <v>8100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24">
        <v>0</v>
      </c>
      <c r="AI392" s="24">
        <v>0</v>
      </c>
      <c r="AJ392" s="10">
        <v>0</v>
      </c>
      <c r="AK392" s="10">
        <v>0</v>
      </c>
      <c r="AL392" s="10">
        <v>0</v>
      </c>
      <c r="AM392" s="10">
        <v>1764</v>
      </c>
      <c r="AN392" s="10">
        <v>130</v>
      </c>
      <c r="AO392" s="15">
        <v>6</v>
      </c>
    </row>
    <row r="393" spans="1:41" ht="15" x14ac:dyDescent="0.25">
      <c r="A393" s="14" t="s">
        <v>24</v>
      </c>
      <c r="B393" s="10">
        <f t="shared" ref="B393:K393" si="78">SUM(B388+B389-B390-B391-B392)</f>
        <v>46290</v>
      </c>
      <c r="C393" s="10">
        <f t="shared" si="78"/>
        <v>4287</v>
      </c>
      <c r="D393" s="10">
        <f t="shared" si="78"/>
        <v>2140</v>
      </c>
      <c r="E393" s="10">
        <f t="shared" si="78"/>
        <v>0</v>
      </c>
      <c r="F393" s="10">
        <f t="shared" si="78"/>
        <v>4734</v>
      </c>
      <c r="G393" s="10">
        <f t="shared" si="78"/>
        <v>1992</v>
      </c>
      <c r="H393" s="2">
        <f t="shared" si="78"/>
        <v>0</v>
      </c>
      <c r="I393" s="10">
        <f t="shared" si="78"/>
        <v>410</v>
      </c>
      <c r="J393" s="10">
        <f t="shared" si="78"/>
        <v>8700</v>
      </c>
      <c r="K393" s="10">
        <f t="shared" si="78"/>
        <v>154.34899999999999</v>
      </c>
      <c r="L393" s="10">
        <f>SUM(L388+L390+L391+L392)</f>
        <v>433375</v>
      </c>
      <c r="M393" s="10">
        <f>SUM(M388+M389+M390+M391+M392)</f>
        <v>171</v>
      </c>
      <c r="N393" s="10">
        <f>SUM(N388+N389-N390-N391-N392)</f>
        <v>0</v>
      </c>
      <c r="O393" s="10">
        <f>SUM(O388+O389-O390-O391-O392)</f>
        <v>87</v>
      </c>
      <c r="P393" s="10">
        <f>SUM(P388+P389+P390+P392)</f>
        <v>49288</v>
      </c>
      <c r="Q393" s="10">
        <f>SUM(Q388-Q389+Q390+Q391+Q392)</f>
        <v>4107</v>
      </c>
      <c r="R393" s="10">
        <f>SUM(R388-R389+R390+R391+R392)</f>
        <v>152</v>
      </c>
      <c r="S393" s="10">
        <f>SUM(S388-S389+S390+S391+S392)</f>
        <v>816</v>
      </c>
      <c r="T393" s="10">
        <f>SUM(T388+T389+T390+T391+T392)</f>
        <v>51</v>
      </c>
      <c r="U393" s="10">
        <f>SUM(U388+U389-U390-U391-U392)</f>
        <v>136675</v>
      </c>
      <c r="V393" s="10">
        <f>SUM(V388+V389-V390-V391-V392)</f>
        <v>32</v>
      </c>
      <c r="W393" s="10">
        <f>SUM(W388+W389-W390-W391-W392)</f>
        <v>0</v>
      </c>
      <c r="X393" s="10">
        <f>SUM(X388+X389-X390-X391-X392)</f>
        <v>75</v>
      </c>
      <c r="Y393" s="10">
        <f>SUM(Y388+Y389+Y390+Y391+Y392)</f>
        <v>49085</v>
      </c>
      <c r="Z393" s="10">
        <f>SUM(Z388+Z389+Z390+Z391+Z392)</f>
        <v>4090</v>
      </c>
      <c r="AA393" s="10">
        <f>SUM(AA388+AA389+AA390+AA391+AA392)</f>
        <v>27</v>
      </c>
      <c r="AB393" s="10">
        <f>SUM(AB388-AB389+AB390+AB391+AB392)</f>
        <v>907</v>
      </c>
      <c r="AC393" s="10">
        <f t="shared" ref="AC393:AL393" si="79">SUM(AC388+AC389-AC390-AC391-AC392)</f>
        <v>51</v>
      </c>
      <c r="AD393" s="10">
        <f t="shared" si="79"/>
        <v>296600</v>
      </c>
      <c r="AE393" s="10">
        <f t="shared" si="79"/>
        <v>129</v>
      </c>
      <c r="AF393" s="10">
        <f t="shared" si="79"/>
        <v>0</v>
      </c>
      <c r="AG393" s="10">
        <f t="shared" si="79"/>
        <v>0</v>
      </c>
      <c r="AH393" s="10">
        <f t="shared" si="79"/>
        <v>0</v>
      </c>
      <c r="AI393" s="10">
        <f t="shared" si="79"/>
        <v>0</v>
      </c>
      <c r="AJ393" s="10">
        <f t="shared" si="79"/>
        <v>0</v>
      </c>
      <c r="AK393" s="10">
        <f t="shared" si="79"/>
        <v>0</v>
      </c>
      <c r="AL393" s="10">
        <f t="shared" si="79"/>
        <v>0</v>
      </c>
      <c r="AM393" s="10">
        <f>SUM(AM388-AM389+AM390+AM391+AM392)</f>
        <v>19138</v>
      </c>
      <c r="AN393" s="10">
        <f>SUM(AN388-AN389+AN390+AN391+AN392)</f>
        <v>3219</v>
      </c>
      <c r="AO393" s="10">
        <f>SUM(AO388-AO389+AO390+AO391+AO392)</f>
        <v>865</v>
      </c>
    </row>
    <row r="396" spans="1:41" ht="18.75" x14ac:dyDescent="0.3">
      <c r="A396" s="16" t="s">
        <v>67</v>
      </c>
      <c r="B396" s="27" t="s">
        <v>26</v>
      </c>
      <c r="C396" s="27"/>
      <c r="D396" s="27"/>
      <c r="E396" s="27"/>
      <c r="F396" s="27"/>
      <c r="G396" s="27"/>
      <c r="H396" s="27"/>
      <c r="I396" s="27"/>
      <c r="J396" s="27"/>
      <c r="K396" s="27"/>
      <c r="L396" s="27" t="s">
        <v>29</v>
      </c>
      <c r="M396" s="27"/>
      <c r="N396" s="27"/>
      <c r="O396" s="27"/>
      <c r="P396" s="27"/>
      <c r="Q396" s="27"/>
      <c r="R396" s="27"/>
      <c r="S396" s="27"/>
      <c r="T396" s="27"/>
      <c r="U396" s="27" t="s">
        <v>28</v>
      </c>
      <c r="V396" s="27"/>
      <c r="W396" s="27"/>
      <c r="X396" s="27"/>
      <c r="Y396" s="27"/>
      <c r="Z396" s="27"/>
      <c r="AA396" s="27"/>
      <c r="AB396" s="27"/>
      <c r="AC396" s="27"/>
      <c r="AD396" s="27" t="s">
        <v>27</v>
      </c>
      <c r="AE396" s="27"/>
      <c r="AF396" s="27"/>
      <c r="AG396" s="27"/>
      <c r="AH396" s="27"/>
      <c r="AI396" s="27"/>
      <c r="AJ396" s="27"/>
      <c r="AK396" s="27"/>
      <c r="AL396" s="27"/>
      <c r="AM396" s="27" t="s">
        <v>25</v>
      </c>
      <c r="AN396" s="27"/>
      <c r="AO396" s="27"/>
    </row>
    <row r="397" spans="1:41" ht="15" x14ac:dyDescent="0.25">
      <c r="A397" s="5" t="s">
        <v>74</v>
      </c>
      <c r="B397" s="1" t="s">
        <v>0</v>
      </c>
      <c r="C397" s="1" t="s">
        <v>1</v>
      </c>
      <c r="D397" s="1" t="s">
        <v>2</v>
      </c>
      <c r="E397" s="1" t="s">
        <v>3</v>
      </c>
      <c r="F397" s="1" t="s">
        <v>4</v>
      </c>
      <c r="G397" s="1" t="s">
        <v>5</v>
      </c>
      <c r="H397" s="1" t="s">
        <v>33</v>
      </c>
      <c r="I397" s="1" t="s">
        <v>6</v>
      </c>
      <c r="J397" s="1" t="s">
        <v>7</v>
      </c>
      <c r="K397" s="1" t="s">
        <v>8</v>
      </c>
      <c r="L397" s="1" t="s">
        <v>9</v>
      </c>
      <c r="M397" s="1" t="s">
        <v>30</v>
      </c>
      <c r="N397" s="1" t="s">
        <v>10</v>
      </c>
      <c r="O397" s="1" t="s">
        <v>11</v>
      </c>
      <c r="P397" s="1" t="s">
        <v>32</v>
      </c>
      <c r="Q397" s="1" t="s">
        <v>37</v>
      </c>
      <c r="R397" s="1" t="s">
        <v>31</v>
      </c>
      <c r="S397" s="6" t="s">
        <v>12</v>
      </c>
      <c r="T397" s="6" t="s">
        <v>13</v>
      </c>
      <c r="U397" s="6" t="s">
        <v>14</v>
      </c>
      <c r="V397" s="1" t="s">
        <v>30</v>
      </c>
      <c r="W397" s="6" t="s">
        <v>10</v>
      </c>
      <c r="X397" s="6" t="s">
        <v>15</v>
      </c>
      <c r="Y397" s="1" t="s">
        <v>32</v>
      </c>
      <c r="Z397" s="1" t="s">
        <v>37</v>
      </c>
      <c r="AA397" s="1" t="s">
        <v>31</v>
      </c>
      <c r="AB397" s="1" t="s">
        <v>12</v>
      </c>
      <c r="AC397" s="1" t="s">
        <v>13</v>
      </c>
      <c r="AD397" s="1" t="s">
        <v>9</v>
      </c>
      <c r="AE397" s="1" t="s">
        <v>30</v>
      </c>
      <c r="AF397" s="1" t="s">
        <v>10</v>
      </c>
      <c r="AG397" s="1" t="s">
        <v>11</v>
      </c>
      <c r="AH397" s="18" t="s">
        <v>32</v>
      </c>
      <c r="AI397" s="18" t="s">
        <v>37</v>
      </c>
      <c r="AJ397" s="1" t="s">
        <v>44</v>
      </c>
      <c r="AK397" s="7" t="s">
        <v>16</v>
      </c>
      <c r="AL397" s="8" t="s">
        <v>13</v>
      </c>
      <c r="AM397" s="1" t="s">
        <v>17</v>
      </c>
      <c r="AN397" s="8" t="s">
        <v>57</v>
      </c>
      <c r="AO397" s="8" t="s">
        <v>19</v>
      </c>
    </row>
    <row r="398" spans="1:41" ht="15" x14ac:dyDescent="0.25">
      <c r="A398" s="9" t="s">
        <v>20</v>
      </c>
      <c r="B398" s="10">
        <v>46260</v>
      </c>
      <c r="C398" s="10">
        <v>4287</v>
      </c>
      <c r="D398" s="10">
        <v>2140</v>
      </c>
      <c r="E398" s="10">
        <v>0</v>
      </c>
      <c r="F398" s="10">
        <v>4734</v>
      </c>
      <c r="G398" s="10">
        <v>1992</v>
      </c>
      <c r="H398" s="3">
        <v>0</v>
      </c>
      <c r="I398" s="25">
        <v>410</v>
      </c>
      <c r="J398" s="10">
        <v>8700</v>
      </c>
      <c r="K398" s="10">
        <v>154.34899999999999</v>
      </c>
      <c r="L398" s="10">
        <v>433375</v>
      </c>
      <c r="M398" s="10">
        <v>171</v>
      </c>
      <c r="N398" s="10">
        <v>0</v>
      </c>
      <c r="O398" s="10">
        <v>87</v>
      </c>
      <c r="P398" s="10">
        <v>49288</v>
      </c>
      <c r="Q398" s="10">
        <v>4107</v>
      </c>
      <c r="R398" s="10">
        <v>152</v>
      </c>
      <c r="S398" s="10">
        <v>816</v>
      </c>
      <c r="T398" s="10">
        <v>51</v>
      </c>
      <c r="U398" s="10">
        <v>136675</v>
      </c>
      <c r="V398" s="10">
        <v>32</v>
      </c>
      <c r="W398" s="10">
        <v>0</v>
      </c>
      <c r="X398" s="10">
        <v>75</v>
      </c>
      <c r="Y398" s="10">
        <v>49085</v>
      </c>
      <c r="Z398" s="10">
        <v>4090</v>
      </c>
      <c r="AA398" s="10">
        <v>27</v>
      </c>
      <c r="AB398" s="10">
        <v>907</v>
      </c>
      <c r="AC398" s="10">
        <v>51</v>
      </c>
      <c r="AD398" s="10">
        <v>296600</v>
      </c>
      <c r="AE398" s="10">
        <v>129</v>
      </c>
      <c r="AF398" s="10">
        <v>0</v>
      </c>
      <c r="AG398" s="19">
        <v>0</v>
      </c>
      <c r="AH398" s="20">
        <v>0</v>
      </c>
      <c r="AI398" s="20">
        <v>0</v>
      </c>
      <c r="AJ398" s="21">
        <v>0</v>
      </c>
      <c r="AK398" s="10">
        <v>0</v>
      </c>
      <c r="AL398" s="10">
        <v>0</v>
      </c>
      <c r="AM398" s="10">
        <v>19138</v>
      </c>
      <c r="AN398" s="10">
        <v>3219</v>
      </c>
      <c r="AO398" s="26">
        <v>865</v>
      </c>
    </row>
    <row r="399" spans="1:41" ht="15" x14ac:dyDescent="0.25">
      <c r="A399" s="9" t="s">
        <v>21</v>
      </c>
      <c r="B399" s="10">
        <f>SUM(308*90)</f>
        <v>27720</v>
      </c>
      <c r="C399" s="10">
        <f>SUM(7237+6529+5549-1260-1080-900-131-98-61-400)</f>
        <v>15385</v>
      </c>
      <c r="D399" s="10">
        <v>0</v>
      </c>
      <c r="E399" s="10">
        <v>0</v>
      </c>
      <c r="F399" s="10">
        <v>0</v>
      </c>
      <c r="G399" s="10">
        <f>SUM(1772+2107+855-30-19-25-100)</f>
        <v>4560</v>
      </c>
      <c r="H399" s="2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f>SUM(9125+9025+8150)</f>
        <v>26300</v>
      </c>
      <c r="AE399" s="10">
        <v>0</v>
      </c>
      <c r="AF399" s="10">
        <v>0</v>
      </c>
      <c r="AG399" s="19">
        <v>0</v>
      </c>
      <c r="AH399" s="20">
        <v>0</v>
      </c>
      <c r="AI399" s="20">
        <v>0</v>
      </c>
      <c r="AJ399" s="21">
        <v>0</v>
      </c>
      <c r="AK399" s="10">
        <v>0</v>
      </c>
      <c r="AL399" s="10">
        <v>0</v>
      </c>
      <c r="AM399" s="10">
        <f>6180+SUM(5790)</f>
        <v>11970</v>
      </c>
      <c r="AN399" s="19">
        <v>0</v>
      </c>
      <c r="AO399" s="20">
        <v>0</v>
      </c>
    </row>
    <row r="400" spans="1:41" ht="15" x14ac:dyDescent="0.25">
      <c r="A400" s="11" t="s">
        <v>22</v>
      </c>
      <c r="B400" s="12">
        <v>7237</v>
      </c>
      <c r="C400" s="17">
        <v>5832</v>
      </c>
      <c r="D400" s="12">
        <v>0</v>
      </c>
      <c r="E400" s="12">
        <v>0</v>
      </c>
      <c r="F400" s="12">
        <v>1772</v>
      </c>
      <c r="G400" s="12">
        <v>2268</v>
      </c>
      <c r="H400" s="4">
        <v>0</v>
      </c>
      <c r="I400" s="12">
        <v>0</v>
      </c>
      <c r="J400" s="12">
        <v>900</v>
      </c>
      <c r="K400" s="12">
        <v>4.5</v>
      </c>
      <c r="L400" s="12">
        <v>9125</v>
      </c>
      <c r="M400" s="12">
        <v>0</v>
      </c>
      <c r="N400" s="12">
        <v>0</v>
      </c>
      <c r="O400" s="12">
        <v>0</v>
      </c>
      <c r="P400" s="10">
        <v>0</v>
      </c>
      <c r="Q400" s="10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22">
        <v>0</v>
      </c>
      <c r="AH400" s="20">
        <v>0</v>
      </c>
      <c r="AI400" s="20">
        <v>0</v>
      </c>
      <c r="AJ400" s="23">
        <v>0</v>
      </c>
      <c r="AK400" s="12">
        <v>0</v>
      </c>
      <c r="AL400" s="12">
        <v>0</v>
      </c>
      <c r="AM400" s="12">
        <v>1260</v>
      </c>
      <c r="AN400" s="12">
        <v>161</v>
      </c>
      <c r="AO400" s="17">
        <v>39</v>
      </c>
    </row>
    <row r="401" spans="1:41" ht="15" x14ac:dyDescent="0.25">
      <c r="A401" s="13" t="s">
        <v>46</v>
      </c>
      <c r="B401" s="10">
        <v>6529</v>
      </c>
      <c r="C401" s="10">
        <v>5832</v>
      </c>
      <c r="D401" s="10">
        <v>0</v>
      </c>
      <c r="E401" s="10">
        <v>0</v>
      </c>
      <c r="F401" s="10">
        <v>2107</v>
      </c>
      <c r="G401" s="10">
        <v>2268</v>
      </c>
      <c r="H401" s="2">
        <v>0</v>
      </c>
      <c r="I401" s="10">
        <v>0</v>
      </c>
      <c r="J401" s="10">
        <v>900</v>
      </c>
      <c r="K401" s="10">
        <v>4.5</v>
      </c>
      <c r="L401" s="10">
        <v>9025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24">
        <v>0</v>
      </c>
      <c r="AI401" s="24">
        <v>0</v>
      </c>
      <c r="AJ401" s="10">
        <v>0</v>
      </c>
      <c r="AK401" s="10">
        <v>0</v>
      </c>
      <c r="AL401" s="10">
        <v>0</v>
      </c>
      <c r="AM401" s="10">
        <v>1080</v>
      </c>
      <c r="AN401" s="10">
        <v>117</v>
      </c>
      <c r="AO401" s="15">
        <v>62</v>
      </c>
    </row>
    <row r="402" spans="1:41" ht="15" x14ac:dyDescent="0.25">
      <c r="A402" s="13" t="s">
        <v>47</v>
      </c>
      <c r="B402" s="10">
        <v>5549</v>
      </c>
      <c r="C402" s="10">
        <v>5184</v>
      </c>
      <c r="D402" s="10">
        <v>0</v>
      </c>
      <c r="E402" s="10">
        <v>0</v>
      </c>
      <c r="F402" s="10">
        <v>855</v>
      </c>
      <c r="G402" s="10">
        <v>2016</v>
      </c>
      <c r="H402" s="2">
        <v>0</v>
      </c>
      <c r="I402" s="10">
        <v>0</v>
      </c>
      <c r="J402" s="10">
        <v>800</v>
      </c>
      <c r="K402" s="10">
        <v>5</v>
      </c>
      <c r="L402" s="10">
        <v>8150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24">
        <v>0</v>
      </c>
      <c r="AI402" s="24">
        <v>0</v>
      </c>
      <c r="AJ402" s="10">
        <v>0</v>
      </c>
      <c r="AK402" s="10">
        <v>0</v>
      </c>
      <c r="AL402" s="10">
        <v>0</v>
      </c>
      <c r="AM402" s="10">
        <v>900</v>
      </c>
      <c r="AN402" s="10">
        <v>86</v>
      </c>
      <c r="AO402" s="15">
        <v>26</v>
      </c>
    </row>
    <row r="403" spans="1:41" ht="15" x14ac:dyDescent="0.25">
      <c r="A403" s="14" t="s">
        <v>24</v>
      </c>
      <c r="B403" s="10">
        <f t="shared" ref="B403:K403" si="80">SUM(B398+B399-B400-B401-B402)</f>
        <v>54665</v>
      </c>
      <c r="C403" s="10">
        <f t="shared" si="80"/>
        <v>2824</v>
      </c>
      <c r="D403" s="10">
        <f t="shared" si="80"/>
        <v>2140</v>
      </c>
      <c r="E403" s="10">
        <f t="shared" si="80"/>
        <v>0</v>
      </c>
      <c r="F403" s="10">
        <f t="shared" si="80"/>
        <v>0</v>
      </c>
      <c r="G403" s="10">
        <f t="shared" si="80"/>
        <v>0</v>
      </c>
      <c r="H403" s="2">
        <f t="shared" si="80"/>
        <v>0</v>
      </c>
      <c r="I403" s="10">
        <f t="shared" si="80"/>
        <v>410</v>
      </c>
      <c r="J403" s="10">
        <f t="shared" si="80"/>
        <v>6100</v>
      </c>
      <c r="K403" s="10">
        <f t="shared" si="80"/>
        <v>140.34899999999999</v>
      </c>
      <c r="L403" s="10">
        <f>SUM(L398+L400+L401+L402)</f>
        <v>459675</v>
      </c>
      <c r="M403" s="10">
        <f>SUM(M398+M399+M400+M401+M402)</f>
        <v>171</v>
      </c>
      <c r="N403" s="10">
        <f>SUM(N398+N399-N400-N401-N402)</f>
        <v>0</v>
      </c>
      <c r="O403" s="10">
        <f>SUM(O398+O399-O400-O401-O402)</f>
        <v>87</v>
      </c>
      <c r="P403" s="10">
        <f>SUM(P398+P399+P400+P402)</f>
        <v>49288</v>
      </c>
      <c r="Q403" s="10">
        <f>SUM(Q398-Q399+Q400+Q401+Q402)</f>
        <v>4107</v>
      </c>
      <c r="R403" s="10">
        <f>SUM(R398-R399+R400+R401+R402)</f>
        <v>152</v>
      </c>
      <c r="S403" s="10">
        <f>SUM(S398-S399+S400+S401+S402)</f>
        <v>816</v>
      </c>
      <c r="T403" s="10">
        <f>SUM(T398+T399+T400+T401+T402)</f>
        <v>51</v>
      </c>
      <c r="U403" s="10">
        <f>SUM(U398+U399-U400-U401-U402)</f>
        <v>136675</v>
      </c>
      <c r="V403" s="10">
        <f>SUM(V398+V399-V400-V401-V402)</f>
        <v>32</v>
      </c>
      <c r="W403" s="10">
        <f>SUM(W398+W399-W400-W401-W402)</f>
        <v>0</v>
      </c>
      <c r="X403" s="10">
        <f>SUM(X398+X399-X400-X401-X402)</f>
        <v>75</v>
      </c>
      <c r="Y403" s="10">
        <f>SUM(Y398+Y399+Y400+Y401+Y402)</f>
        <v>49085</v>
      </c>
      <c r="Z403" s="10">
        <f>SUM(Z398+Z399+Z400+Z401+Z402)</f>
        <v>4090</v>
      </c>
      <c r="AA403" s="10">
        <f>SUM(AA398+AA399+AA400+AA401+AA402)</f>
        <v>27</v>
      </c>
      <c r="AB403" s="10">
        <f>SUM(AB398-AB399+AB400+AB401+AB402)</f>
        <v>907</v>
      </c>
      <c r="AC403" s="10">
        <f t="shared" ref="AC403:AL403" si="81">SUM(AC398+AC399-AC400-AC401-AC402)</f>
        <v>51</v>
      </c>
      <c r="AD403" s="10">
        <f t="shared" si="81"/>
        <v>322900</v>
      </c>
      <c r="AE403" s="10">
        <f t="shared" si="81"/>
        <v>129</v>
      </c>
      <c r="AF403" s="10">
        <f t="shared" si="81"/>
        <v>0</v>
      </c>
      <c r="AG403" s="10">
        <f t="shared" si="81"/>
        <v>0</v>
      </c>
      <c r="AH403" s="10">
        <f t="shared" si="81"/>
        <v>0</v>
      </c>
      <c r="AI403" s="10">
        <f t="shared" si="81"/>
        <v>0</v>
      </c>
      <c r="AJ403" s="10">
        <f t="shared" si="81"/>
        <v>0</v>
      </c>
      <c r="AK403" s="10">
        <f t="shared" si="81"/>
        <v>0</v>
      </c>
      <c r="AL403" s="10">
        <f t="shared" si="81"/>
        <v>0</v>
      </c>
      <c r="AM403" s="10">
        <f>SUM(AM398-AM399+AM400+AM401+AM402)</f>
        <v>10408</v>
      </c>
      <c r="AN403" s="10">
        <f>SUM(AN398-AN399+AN400+AN401+AN402)</f>
        <v>3583</v>
      </c>
      <c r="AO403" s="10">
        <f>SUM(AO398-AO399+AO400+AO401+AO402)</f>
        <v>992</v>
      </c>
    </row>
    <row r="406" spans="1:41" ht="18.75" x14ac:dyDescent="0.3">
      <c r="A406" s="16" t="s">
        <v>68</v>
      </c>
      <c r="B406" s="27" t="s">
        <v>26</v>
      </c>
      <c r="C406" s="27"/>
      <c r="D406" s="27"/>
      <c r="E406" s="27"/>
      <c r="F406" s="27"/>
      <c r="G406" s="27"/>
      <c r="H406" s="27"/>
      <c r="I406" s="27"/>
      <c r="J406" s="27"/>
      <c r="K406" s="27"/>
      <c r="L406" s="27" t="s">
        <v>29</v>
      </c>
      <c r="M406" s="27"/>
      <c r="N406" s="27"/>
      <c r="O406" s="27"/>
      <c r="P406" s="27"/>
      <c r="Q406" s="27"/>
      <c r="R406" s="27"/>
      <c r="S406" s="27"/>
      <c r="T406" s="27"/>
      <c r="U406" s="27" t="s">
        <v>28</v>
      </c>
      <c r="V406" s="27"/>
      <c r="W406" s="27"/>
      <c r="X406" s="27"/>
      <c r="Y406" s="27"/>
      <c r="Z406" s="27"/>
      <c r="AA406" s="27"/>
      <c r="AB406" s="27"/>
      <c r="AC406" s="27"/>
      <c r="AD406" s="27" t="s">
        <v>27</v>
      </c>
      <c r="AE406" s="27"/>
      <c r="AF406" s="27"/>
      <c r="AG406" s="27"/>
      <c r="AH406" s="27"/>
      <c r="AI406" s="27"/>
      <c r="AJ406" s="27"/>
      <c r="AK406" s="27"/>
      <c r="AL406" s="27"/>
      <c r="AM406" s="27" t="s">
        <v>25</v>
      </c>
      <c r="AN406" s="27"/>
      <c r="AO406" s="27"/>
    </row>
    <row r="407" spans="1:41" ht="15" x14ac:dyDescent="0.25">
      <c r="A407" s="5" t="s">
        <v>74</v>
      </c>
      <c r="B407" s="1" t="s">
        <v>0</v>
      </c>
      <c r="C407" s="1" t="s">
        <v>1</v>
      </c>
      <c r="D407" s="1" t="s">
        <v>2</v>
      </c>
      <c r="E407" s="1" t="s">
        <v>3</v>
      </c>
      <c r="F407" s="1" t="s">
        <v>4</v>
      </c>
      <c r="G407" s="1" t="s">
        <v>5</v>
      </c>
      <c r="H407" s="1" t="s">
        <v>33</v>
      </c>
      <c r="I407" s="1" t="s">
        <v>6</v>
      </c>
      <c r="J407" s="1" t="s">
        <v>7</v>
      </c>
      <c r="K407" s="1" t="s">
        <v>8</v>
      </c>
      <c r="L407" s="1" t="s">
        <v>9</v>
      </c>
      <c r="M407" s="1" t="s">
        <v>30</v>
      </c>
      <c r="N407" s="1" t="s">
        <v>10</v>
      </c>
      <c r="O407" s="1" t="s">
        <v>11</v>
      </c>
      <c r="P407" s="1" t="s">
        <v>32</v>
      </c>
      <c r="Q407" s="1" t="s">
        <v>37</v>
      </c>
      <c r="R407" s="1" t="s">
        <v>31</v>
      </c>
      <c r="S407" s="6" t="s">
        <v>12</v>
      </c>
      <c r="T407" s="6" t="s">
        <v>13</v>
      </c>
      <c r="U407" s="6" t="s">
        <v>14</v>
      </c>
      <c r="V407" s="1" t="s">
        <v>30</v>
      </c>
      <c r="W407" s="6" t="s">
        <v>10</v>
      </c>
      <c r="X407" s="6" t="s">
        <v>15</v>
      </c>
      <c r="Y407" s="1" t="s">
        <v>32</v>
      </c>
      <c r="Z407" s="1" t="s">
        <v>37</v>
      </c>
      <c r="AA407" s="1" t="s">
        <v>31</v>
      </c>
      <c r="AB407" s="1" t="s">
        <v>12</v>
      </c>
      <c r="AC407" s="1" t="s">
        <v>13</v>
      </c>
      <c r="AD407" s="1" t="s">
        <v>9</v>
      </c>
      <c r="AE407" s="1" t="s">
        <v>30</v>
      </c>
      <c r="AF407" s="1" t="s">
        <v>10</v>
      </c>
      <c r="AG407" s="1" t="s">
        <v>11</v>
      </c>
      <c r="AH407" s="18" t="s">
        <v>32</v>
      </c>
      <c r="AI407" s="18" t="s">
        <v>37</v>
      </c>
      <c r="AJ407" s="1" t="s">
        <v>44</v>
      </c>
      <c r="AK407" s="7" t="s">
        <v>16</v>
      </c>
      <c r="AL407" s="8" t="s">
        <v>13</v>
      </c>
      <c r="AM407" s="1" t="s">
        <v>17</v>
      </c>
      <c r="AN407" s="8" t="s">
        <v>57</v>
      </c>
      <c r="AO407" s="8" t="s">
        <v>19</v>
      </c>
    </row>
    <row r="408" spans="1:41" ht="15" x14ac:dyDescent="0.25">
      <c r="A408" s="9" t="s">
        <v>20</v>
      </c>
      <c r="B408" s="10">
        <v>54665</v>
      </c>
      <c r="C408" s="10">
        <v>2824</v>
      </c>
      <c r="D408" s="10">
        <v>2140</v>
      </c>
      <c r="E408" s="10">
        <v>0</v>
      </c>
      <c r="F408" s="10">
        <v>0</v>
      </c>
      <c r="G408" s="10">
        <v>0</v>
      </c>
      <c r="H408" s="3">
        <v>0</v>
      </c>
      <c r="I408" s="25">
        <v>410</v>
      </c>
      <c r="J408" s="10">
        <v>6100</v>
      </c>
      <c r="K408" s="10">
        <v>140.34899999999999</v>
      </c>
      <c r="L408" s="10">
        <v>459675</v>
      </c>
      <c r="M408" s="10">
        <v>171</v>
      </c>
      <c r="N408" s="10">
        <v>0</v>
      </c>
      <c r="O408" s="10">
        <v>87</v>
      </c>
      <c r="P408" s="10">
        <v>49288</v>
      </c>
      <c r="Q408" s="10">
        <v>4107</v>
      </c>
      <c r="R408" s="10">
        <v>152</v>
      </c>
      <c r="S408" s="10">
        <v>816</v>
      </c>
      <c r="T408" s="10">
        <v>51</v>
      </c>
      <c r="U408" s="10">
        <v>136675</v>
      </c>
      <c r="V408" s="10">
        <v>32</v>
      </c>
      <c r="W408" s="10">
        <v>0</v>
      </c>
      <c r="X408" s="10">
        <v>75</v>
      </c>
      <c r="Y408" s="10">
        <v>49085</v>
      </c>
      <c r="Z408" s="10">
        <v>4090</v>
      </c>
      <c r="AA408" s="10">
        <v>27</v>
      </c>
      <c r="AB408" s="10">
        <v>907</v>
      </c>
      <c r="AC408" s="10">
        <v>51</v>
      </c>
      <c r="AD408" s="10">
        <v>322900</v>
      </c>
      <c r="AE408" s="10">
        <v>129</v>
      </c>
      <c r="AF408" s="10">
        <v>0</v>
      </c>
      <c r="AG408" s="19">
        <v>0</v>
      </c>
      <c r="AH408" s="20">
        <v>0</v>
      </c>
      <c r="AI408" s="20">
        <v>0</v>
      </c>
      <c r="AJ408" s="21">
        <v>0</v>
      </c>
      <c r="AK408" s="10">
        <v>0</v>
      </c>
      <c r="AL408" s="10">
        <v>0</v>
      </c>
      <c r="AM408" s="10">
        <v>10408</v>
      </c>
      <c r="AN408" s="10">
        <v>3583</v>
      </c>
      <c r="AO408" s="26">
        <v>992</v>
      </c>
    </row>
    <row r="409" spans="1:41" ht="15" x14ac:dyDescent="0.25">
      <c r="A409" s="9" t="s">
        <v>21</v>
      </c>
      <c r="B409" s="10">
        <v>0</v>
      </c>
      <c r="C409" s="10">
        <f>SUM(3672+9131+6745-780-100-1380-122-1020-84-400)</f>
        <v>15662</v>
      </c>
      <c r="D409" s="10">
        <v>0</v>
      </c>
      <c r="E409" s="10">
        <v>0</v>
      </c>
      <c r="F409" s="10">
        <v>28000</v>
      </c>
      <c r="G409" s="10">
        <f>SUM(2200+2050+2250)</f>
        <v>6500</v>
      </c>
      <c r="H409" s="2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f>SUM(205*25)</f>
        <v>5125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f>SUM(1003*25)</f>
        <v>25075</v>
      </c>
      <c r="AE409" s="10">
        <v>0</v>
      </c>
      <c r="AF409" s="10">
        <v>0</v>
      </c>
      <c r="AG409" s="19">
        <v>0</v>
      </c>
      <c r="AH409" s="20">
        <v>0</v>
      </c>
      <c r="AI409" s="20">
        <v>0</v>
      </c>
      <c r="AJ409" s="21">
        <v>0</v>
      </c>
      <c r="AK409" s="10">
        <v>0</v>
      </c>
      <c r="AL409" s="10">
        <v>0</v>
      </c>
      <c r="AM409" s="10">
        <v>5720</v>
      </c>
      <c r="AN409" s="19">
        <v>0</v>
      </c>
      <c r="AO409" s="20">
        <v>0</v>
      </c>
    </row>
    <row r="410" spans="1:41" ht="15" x14ac:dyDescent="0.25">
      <c r="A410" s="11" t="s">
        <v>22</v>
      </c>
      <c r="B410" s="12">
        <v>3672</v>
      </c>
      <c r="C410" s="17">
        <v>2592</v>
      </c>
      <c r="D410" s="12">
        <v>0</v>
      </c>
      <c r="E410" s="12">
        <v>0</v>
      </c>
      <c r="F410" s="12">
        <v>2233</v>
      </c>
      <c r="G410" s="12">
        <v>1008</v>
      </c>
      <c r="H410" s="4">
        <v>0</v>
      </c>
      <c r="I410" s="12">
        <v>0</v>
      </c>
      <c r="J410" s="12">
        <v>400</v>
      </c>
      <c r="K410" s="12">
        <v>2</v>
      </c>
      <c r="L410" s="12">
        <v>4025</v>
      </c>
      <c r="M410" s="12">
        <v>0</v>
      </c>
      <c r="N410" s="12">
        <v>0</v>
      </c>
      <c r="O410" s="12">
        <v>0</v>
      </c>
      <c r="P410" s="10">
        <v>0</v>
      </c>
      <c r="Q410" s="10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f>SUM(205*25)</f>
        <v>5125</v>
      </c>
      <c r="AE410" s="12">
        <v>0</v>
      </c>
      <c r="AF410" s="12">
        <v>0</v>
      </c>
      <c r="AG410" s="22">
        <v>0</v>
      </c>
      <c r="AH410" s="20">
        <v>0</v>
      </c>
      <c r="AI410" s="20">
        <v>0</v>
      </c>
      <c r="AJ410" s="23">
        <v>0</v>
      </c>
      <c r="AK410" s="12">
        <v>0</v>
      </c>
      <c r="AL410" s="12">
        <v>0</v>
      </c>
      <c r="AM410" s="12">
        <v>780</v>
      </c>
      <c r="AN410" s="12">
        <v>409</v>
      </c>
      <c r="AO410" s="17">
        <v>14</v>
      </c>
    </row>
    <row r="411" spans="1:41" ht="15" x14ac:dyDescent="0.25">
      <c r="A411" s="13" t="s">
        <v>46</v>
      </c>
      <c r="B411" s="10">
        <v>9131</v>
      </c>
      <c r="C411" s="10">
        <v>6480</v>
      </c>
      <c r="D411" s="10">
        <v>0</v>
      </c>
      <c r="E411" s="10">
        <v>0</v>
      </c>
      <c r="F411" s="10">
        <v>2102</v>
      </c>
      <c r="G411" s="10">
        <v>2520</v>
      </c>
      <c r="H411" s="2">
        <v>0</v>
      </c>
      <c r="I411" s="10">
        <v>0</v>
      </c>
      <c r="J411" s="10">
        <v>1000</v>
      </c>
      <c r="K411" s="10">
        <v>5</v>
      </c>
      <c r="L411" s="10">
        <v>10025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24">
        <v>0</v>
      </c>
      <c r="AI411" s="24">
        <v>0</v>
      </c>
      <c r="AJ411" s="10">
        <v>0</v>
      </c>
      <c r="AK411" s="10">
        <v>0</v>
      </c>
      <c r="AL411" s="10">
        <v>0</v>
      </c>
      <c r="AM411" s="10">
        <v>1380</v>
      </c>
      <c r="AN411" s="10">
        <v>133</v>
      </c>
      <c r="AO411" s="15">
        <v>31</v>
      </c>
    </row>
    <row r="412" spans="1:41" ht="15" x14ac:dyDescent="0.25">
      <c r="A412" s="13" t="s">
        <v>47</v>
      </c>
      <c r="B412" s="10">
        <v>6745</v>
      </c>
      <c r="C412" s="10">
        <v>7128</v>
      </c>
      <c r="D412" s="10">
        <v>0</v>
      </c>
      <c r="E412" s="10">
        <v>0</v>
      </c>
      <c r="F412" s="10">
        <v>2300</v>
      </c>
      <c r="G412" s="10">
        <v>2772</v>
      </c>
      <c r="H412" s="2">
        <v>0</v>
      </c>
      <c r="I412" s="10">
        <v>0</v>
      </c>
      <c r="J412" s="10">
        <v>1100</v>
      </c>
      <c r="K412" s="10">
        <v>5.5</v>
      </c>
      <c r="L412" s="10">
        <v>11025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24">
        <v>0</v>
      </c>
      <c r="AI412" s="24">
        <v>0</v>
      </c>
      <c r="AJ412" s="10">
        <v>0</v>
      </c>
      <c r="AK412" s="10">
        <v>0</v>
      </c>
      <c r="AL412" s="10">
        <v>0</v>
      </c>
      <c r="AM412" s="10">
        <v>1020</v>
      </c>
      <c r="AN412" s="10">
        <v>110</v>
      </c>
      <c r="AO412" s="15">
        <v>14</v>
      </c>
    </row>
    <row r="413" spans="1:41" ht="15" x14ac:dyDescent="0.25">
      <c r="A413" s="14" t="s">
        <v>24</v>
      </c>
      <c r="B413" s="10">
        <f t="shared" ref="B413:K413" si="82">SUM(B408+B409-B410-B411-B412)</f>
        <v>35117</v>
      </c>
      <c r="C413" s="10">
        <f t="shared" si="82"/>
        <v>2286</v>
      </c>
      <c r="D413" s="10">
        <f t="shared" si="82"/>
        <v>2140</v>
      </c>
      <c r="E413" s="10">
        <f t="shared" si="82"/>
        <v>0</v>
      </c>
      <c r="F413" s="10">
        <f t="shared" si="82"/>
        <v>21365</v>
      </c>
      <c r="G413" s="10">
        <f t="shared" si="82"/>
        <v>200</v>
      </c>
      <c r="H413" s="2">
        <f t="shared" si="82"/>
        <v>0</v>
      </c>
      <c r="I413" s="10">
        <f t="shared" si="82"/>
        <v>410</v>
      </c>
      <c r="J413" s="10">
        <f t="shared" si="82"/>
        <v>3600</v>
      </c>
      <c r="K413" s="10">
        <f t="shared" si="82"/>
        <v>127.84899999999999</v>
      </c>
      <c r="L413" s="10">
        <f>SUM(L408+L410+L411+L412)</f>
        <v>484750</v>
      </c>
      <c r="M413" s="10">
        <f>SUM(M408+M409+M410+M411+M412)</f>
        <v>171</v>
      </c>
      <c r="N413" s="10">
        <f>SUM(N408+N409-N410-N411-N412)</f>
        <v>0</v>
      </c>
      <c r="O413" s="10">
        <f>SUM(O408+O409-O410-O411-O412)</f>
        <v>87</v>
      </c>
      <c r="P413" s="10">
        <f>SUM(P408+P409+P410+P412)</f>
        <v>49288</v>
      </c>
      <c r="Q413" s="10">
        <f>SUM(Q408-Q409+Q410+Q411+Q412)</f>
        <v>4107</v>
      </c>
      <c r="R413" s="10">
        <f>SUM(R408-R409+R410+R411+R412)</f>
        <v>152</v>
      </c>
      <c r="S413" s="10">
        <f>SUM(S408-S409+S410+S411+S412)</f>
        <v>816</v>
      </c>
      <c r="T413" s="10">
        <f>SUM(T408+T409+T410+T411+T412)</f>
        <v>51</v>
      </c>
      <c r="U413" s="10">
        <f>SUM(U408+U409-U410-U411-U412)</f>
        <v>141800</v>
      </c>
      <c r="V413" s="10">
        <f>SUM(V408+V409-V410-V411-V412)</f>
        <v>32</v>
      </c>
      <c r="W413" s="10">
        <f>SUM(W408+W409-W410-W411-W412)</f>
        <v>0</v>
      </c>
      <c r="X413" s="10">
        <f>SUM(X408+X409-X410-X411-X412)</f>
        <v>75</v>
      </c>
      <c r="Y413" s="10">
        <f>SUM(Y408+Y409+Y410+Y411+Y412)</f>
        <v>49085</v>
      </c>
      <c r="Z413" s="10">
        <f>SUM(Z408+Z409+Z410+Z411+Z412)</f>
        <v>4090</v>
      </c>
      <c r="AA413" s="10">
        <f>SUM(AA408+AA409+AA410+AA411+AA412)</f>
        <v>27</v>
      </c>
      <c r="AB413" s="10">
        <f>SUM(AB408-AB409+AB410+AB411+AB412)</f>
        <v>907</v>
      </c>
      <c r="AC413" s="10">
        <f t="shared" ref="AC413:AL413" si="83">SUM(AC408+AC409-AC410-AC411-AC412)</f>
        <v>51</v>
      </c>
      <c r="AD413" s="10">
        <f t="shared" si="83"/>
        <v>342850</v>
      </c>
      <c r="AE413" s="10">
        <f t="shared" si="83"/>
        <v>129</v>
      </c>
      <c r="AF413" s="10">
        <f t="shared" si="83"/>
        <v>0</v>
      </c>
      <c r="AG413" s="10">
        <f t="shared" si="83"/>
        <v>0</v>
      </c>
      <c r="AH413" s="10">
        <f t="shared" si="83"/>
        <v>0</v>
      </c>
      <c r="AI413" s="10">
        <f t="shared" si="83"/>
        <v>0</v>
      </c>
      <c r="AJ413" s="10">
        <f t="shared" si="83"/>
        <v>0</v>
      </c>
      <c r="AK413" s="10">
        <f t="shared" si="83"/>
        <v>0</v>
      </c>
      <c r="AL413" s="10">
        <f t="shared" si="83"/>
        <v>0</v>
      </c>
      <c r="AM413" s="10">
        <f>SUM(AM408-AM409+AM410+AM411+AM412)</f>
        <v>7868</v>
      </c>
      <c r="AN413" s="10">
        <f>SUM(AN408-AN409+AN410+AN411+AN412)</f>
        <v>4235</v>
      </c>
      <c r="AO413" s="10">
        <f>SUM(AO408-AO409+AO410+AO411+AO412)</f>
        <v>1051</v>
      </c>
    </row>
    <row r="416" spans="1:41" ht="18.75" x14ac:dyDescent="0.3">
      <c r="A416" s="16" t="s">
        <v>69</v>
      </c>
      <c r="B416" s="27" t="s">
        <v>26</v>
      </c>
      <c r="C416" s="27"/>
      <c r="D416" s="27"/>
      <c r="E416" s="27"/>
      <c r="F416" s="27"/>
      <c r="G416" s="27"/>
      <c r="H416" s="27"/>
      <c r="I416" s="27"/>
      <c r="J416" s="27"/>
      <c r="K416" s="27"/>
      <c r="L416" s="27" t="s">
        <v>29</v>
      </c>
      <c r="M416" s="27"/>
      <c r="N416" s="27"/>
      <c r="O416" s="27"/>
      <c r="P416" s="27"/>
      <c r="Q416" s="27"/>
      <c r="R416" s="27"/>
      <c r="S416" s="27"/>
      <c r="T416" s="27"/>
      <c r="U416" s="27" t="s">
        <v>28</v>
      </c>
      <c r="V416" s="27"/>
      <c r="W416" s="27"/>
      <c r="X416" s="27"/>
      <c r="Y416" s="27"/>
      <c r="Z416" s="27"/>
      <c r="AA416" s="27"/>
      <c r="AB416" s="27"/>
      <c r="AC416" s="27"/>
      <c r="AD416" s="27" t="s">
        <v>27</v>
      </c>
      <c r="AE416" s="27"/>
      <c r="AF416" s="27"/>
      <c r="AG416" s="27"/>
      <c r="AH416" s="27"/>
      <c r="AI416" s="27"/>
      <c r="AJ416" s="27"/>
      <c r="AK416" s="27"/>
      <c r="AL416" s="27"/>
      <c r="AM416" s="27" t="s">
        <v>25</v>
      </c>
      <c r="AN416" s="27"/>
      <c r="AO416" s="27"/>
    </row>
    <row r="417" spans="1:41" ht="15" x14ac:dyDescent="0.25">
      <c r="A417" s="5" t="s">
        <v>74</v>
      </c>
      <c r="B417" s="1" t="s">
        <v>0</v>
      </c>
      <c r="C417" s="1" t="s">
        <v>1</v>
      </c>
      <c r="D417" s="1" t="s">
        <v>2</v>
      </c>
      <c r="E417" s="1" t="s">
        <v>3</v>
      </c>
      <c r="F417" s="1" t="s">
        <v>4</v>
      </c>
      <c r="G417" s="1" t="s">
        <v>5</v>
      </c>
      <c r="H417" s="1" t="s">
        <v>33</v>
      </c>
      <c r="I417" s="1" t="s">
        <v>6</v>
      </c>
      <c r="J417" s="1" t="s">
        <v>7</v>
      </c>
      <c r="K417" s="1" t="s">
        <v>8</v>
      </c>
      <c r="L417" s="1" t="s">
        <v>9</v>
      </c>
      <c r="M417" s="1" t="s">
        <v>30</v>
      </c>
      <c r="N417" s="1" t="s">
        <v>10</v>
      </c>
      <c r="O417" s="1" t="s">
        <v>11</v>
      </c>
      <c r="P417" s="1" t="s">
        <v>32</v>
      </c>
      <c r="Q417" s="1" t="s">
        <v>37</v>
      </c>
      <c r="R417" s="1" t="s">
        <v>31</v>
      </c>
      <c r="S417" s="6" t="s">
        <v>12</v>
      </c>
      <c r="T417" s="6" t="s">
        <v>13</v>
      </c>
      <c r="U417" s="6" t="s">
        <v>14</v>
      </c>
      <c r="V417" s="1" t="s">
        <v>30</v>
      </c>
      <c r="W417" s="6" t="s">
        <v>10</v>
      </c>
      <c r="X417" s="6" t="s">
        <v>15</v>
      </c>
      <c r="Y417" s="1" t="s">
        <v>32</v>
      </c>
      <c r="Z417" s="1" t="s">
        <v>37</v>
      </c>
      <c r="AA417" s="1" t="s">
        <v>31</v>
      </c>
      <c r="AB417" s="1" t="s">
        <v>12</v>
      </c>
      <c r="AC417" s="1" t="s">
        <v>13</v>
      </c>
      <c r="AD417" s="1" t="s">
        <v>9</v>
      </c>
      <c r="AE417" s="1" t="s">
        <v>30</v>
      </c>
      <c r="AF417" s="1" t="s">
        <v>10</v>
      </c>
      <c r="AG417" s="1" t="s">
        <v>11</v>
      </c>
      <c r="AH417" s="18" t="s">
        <v>32</v>
      </c>
      <c r="AI417" s="18" t="s">
        <v>37</v>
      </c>
      <c r="AJ417" s="1" t="s">
        <v>44</v>
      </c>
      <c r="AK417" s="7" t="s">
        <v>16</v>
      </c>
      <c r="AL417" s="8" t="s">
        <v>13</v>
      </c>
      <c r="AM417" s="1" t="s">
        <v>17</v>
      </c>
      <c r="AN417" s="8" t="s">
        <v>57</v>
      </c>
      <c r="AO417" s="8" t="s">
        <v>19</v>
      </c>
    </row>
    <row r="418" spans="1:41" ht="15" x14ac:dyDescent="0.25">
      <c r="A418" s="9" t="s">
        <v>20</v>
      </c>
      <c r="B418" s="10">
        <v>35117</v>
      </c>
      <c r="C418" s="10">
        <v>2286</v>
      </c>
      <c r="D418" s="10">
        <v>2140</v>
      </c>
      <c r="E418" s="10">
        <v>0</v>
      </c>
      <c r="F418" s="10">
        <v>21365</v>
      </c>
      <c r="G418" s="10">
        <v>200</v>
      </c>
      <c r="H418" s="3">
        <v>0</v>
      </c>
      <c r="I418" s="25">
        <v>410</v>
      </c>
      <c r="J418" s="10">
        <v>3600</v>
      </c>
      <c r="K418" s="10">
        <v>127.849</v>
      </c>
      <c r="L418" s="10">
        <v>484750</v>
      </c>
      <c r="M418" s="10">
        <v>171</v>
      </c>
      <c r="N418" s="10">
        <v>0</v>
      </c>
      <c r="O418" s="10">
        <v>87</v>
      </c>
      <c r="P418" s="10">
        <v>49288</v>
      </c>
      <c r="Q418" s="10">
        <v>4107</v>
      </c>
      <c r="R418" s="10">
        <v>152</v>
      </c>
      <c r="S418" s="10">
        <v>816</v>
      </c>
      <c r="T418" s="10">
        <v>51</v>
      </c>
      <c r="U418" s="10">
        <v>141800</v>
      </c>
      <c r="V418" s="10">
        <v>32</v>
      </c>
      <c r="W418" s="10">
        <v>0</v>
      </c>
      <c r="X418" s="10">
        <v>75</v>
      </c>
      <c r="Y418" s="10">
        <v>49085</v>
      </c>
      <c r="Z418" s="10">
        <v>4090</v>
      </c>
      <c r="AA418" s="10">
        <v>27</v>
      </c>
      <c r="AB418" s="10">
        <v>907</v>
      </c>
      <c r="AC418" s="10">
        <v>51</v>
      </c>
      <c r="AD418" s="10">
        <v>342850</v>
      </c>
      <c r="AE418" s="10">
        <v>129</v>
      </c>
      <c r="AF418" s="10">
        <v>0</v>
      </c>
      <c r="AG418" s="19">
        <v>0</v>
      </c>
      <c r="AH418" s="20">
        <v>0</v>
      </c>
      <c r="AI418" s="20">
        <v>0</v>
      </c>
      <c r="AJ418" s="21">
        <v>0</v>
      </c>
      <c r="AK418" s="10">
        <v>0</v>
      </c>
      <c r="AL418" s="10">
        <v>0</v>
      </c>
      <c r="AM418" s="10">
        <v>7868</v>
      </c>
      <c r="AN418" s="10">
        <v>4235</v>
      </c>
      <c r="AO418" s="26">
        <v>1051</v>
      </c>
    </row>
    <row r="419" spans="1:41" ht="15" x14ac:dyDescent="0.25">
      <c r="A419" s="9" t="s">
        <v>21</v>
      </c>
      <c r="B419" s="10">
        <v>0</v>
      </c>
      <c r="C419" s="10">
        <v>0</v>
      </c>
      <c r="D419" s="10">
        <v>0</v>
      </c>
      <c r="E419" s="10">
        <v>0</v>
      </c>
      <c r="F419" s="10">
        <v>0</v>
      </c>
      <c r="G419" s="10">
        <f>SUM(1450+1796+1767-101-11-28)</f>
        <v>4873</v>
      </c>
      <c r="H419" s="2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f>SUM(486*25)</f>
        <v>12150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9">
        <v>0</v>
      </c>
      <c r="AH419" s="20">
        <v>0</v>
      </c>
      <c r="AI419" s="20">
        <v>0</v>
      </c>
      <c r="AJ419" s="21">
        <v>0</v>
      </c>
      <c r="AK419" s="10">
        <v>0</v>
      </c>
      <c r="AL419" s="10">
        <v>0</v>
      </c>
      <c r="AM419" s="10">
        <v>6150</v>
      </c>
      <c r="AN419" s="19">
        <v>4235</v>
      </c>
      <c r="AO419" s="20">
        <v>1051</v>
      </c>
    </row>
    <row r="420" spans="1:41" ht="15" x14ac:dyDescent="0.25">
      <c r="A420" s="11" t="s">
        <v>22</v>
      </c>
      <c r="B420" s="12">
        <v>0</v>
      </c>
      <c r="C420" s="17">
        <v>250</v>
      </c>
      <c r="D420" s="12">
        <v>0</v>
      </c>
      <c r="E420" s="12">
        <v>0</v>
      </c>
      <c r="F420" s="12">
        <v>1488</v>
      </c>
      <c r="G420" s="12">
        <v>0</v>
      </c>
      <c r="H420" s="4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0">
        <v>0</v>
      </c>
      <c r="Q420" s="10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12150</v>
      </c>
      <c r="AE420" s="12">
        <v>0</v>
      </c>
      <c r="AF420" s="12">
        <v>0</v>
      </c>
      <c r="AG420" s="22">
        <v>0</v>
      </c>
      <c r="AH420" s="20">
        <v>0</v>
      </c>
      <c r="AI420" s="20">
        <v>0</v>
      </c>
      <c r="AJ420" s="23">
        <v>0</v>
      </c>
      <c r="AK420" s="12">
        <v>0</v>
      </c>
      <c r="AL420" s="12">
        <v>0</v>
      </c>
      <c r="AM420" s="12">
        <v>0</v>
      </c>
      <c r="AN420" s="12">
        <v>28</v>
      </c>
      <c r="AO420" s="17">
        <v>250</v>
      </c>
    </row>
    <row r="421" spans="1:41" ht="15" x14ac:dyDescent="0.25">
      <c r="A421" s="13" t="s">
        <v>46</v>
      </c>
      <c r="B421" s="10">
        <v>0</v>
      </c>
      <c r="C421" s="10">
        <v>0</v>
      </c>
      <c r="D421" s="10">
        <v>0</v>
      </c>
      <c r="E421" s="10">
        <v>0</v>
      </c>
      <c r="F421" s="10">
        <v>1796</v>
      </c>
      <c r="G421" s="10">
        <v>0</v>
      </c>
      <c r="H421" s="2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24">
        <v>0</v>
      </c>
      <c r="AI421" s="24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11</v>
      </c>
      <c r="AO421" s="15">
        <v>0</v>
      </c>
    </row>
    <row r="422" spans="1:41" ht="15" x14ac:dyDescent="0.25">
      <c r="A422" s="13" t="s">
        <v>47</v>
      </c>
      <c r="B422" s="10">
        <v>0</v>
      </c>
      <c r="C422" s="10">
        <v>0</v>
      </c>
      <c r="D422" s="10">
        <v>0</v>
      </c>
      <c r="E422" s="10">
        <v>0</v>
      </c>
      <c r="F422" s="10">
        <v>1764</v>
      </c>
      <c r="G422" s="10">
        <v>0</v>
      </c>
      <c r="H422" s="2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24">
        <v>0</v>
      </c>
      <c r="AI422" s="24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101</v>
      </c>
      <c r="AO422" s="15">
        <v>0</v>
      </c>
    </row>
    <row r="423" spans="1:41" ht="15" x14ac:dyDescent="0.25">
      <c r="A423" s="14" t="s">
        <v>24</v>
      </c>
      <c r="B423" s="10">
        <f t="shared" ref="B423:K423" si="84">SUM(B418+B419-B420-B421-B422)</f>
        <v>35117</v>
      </c>
      <c r="C423" s="10">
        <f t="shared" si="84"/>
        <v>2036</v>
      </c>
      <c r="D423" s="10">
        <f t="shared" si="84"/>
        <v>2140</v>
      </c>
      <c r="E423" s="10">
        <f t="shared" si="84"/>
        <v>0</v>
      </c>
      <c r="F423" s="10">
        <f t="shared" si="84"/>
        <v>16317</v>
      </c>
      <c r="G423" s="10">
        <f t="shared" si="84"/>
        <v>5073</v>
      </c>
      <c r="H423" s="2">
        <f t="shared" si="84"/>
        <v>0</v>
      </c>
      <c r="I423" s="10">
        <f t="shared" si="84"/>
        <v>410</v>
      </c>
      <c r="J423" s="10">
        <f t="shared" si="84"/>
        <v>3600</v>
      </c>
      <c r="K423" s="10">
        <f t="shared" si="84"/>
        <v>127.849</v>
      </c>
      <c r="L423" s="10">
        <f>SUM(L418+L420+L421+L422)</f>
        <v>484750</v>
      </c>
      <c r="M423" s="10">
        <f>SUM(M418+M419+M420+M421+M422)</f>
        <v>171</v>
      </c>
      <c r="N423" s="10">
        <f>SUM(N418+N419-N420-N421-N422)</f>
        <v>0</v>
      </c>
      <c r="O423" s="10">
        <f>SUM(O418+O419-O420-O421-O422)</f>
        <v>87</v>
      </c>
      <c r="P423" s="10">
        <f>SUM(P418+P419+P420+P422)</f>
        <v>49288</v>
      </c>
      <c r="Q423" s="10">
        <f>SUM(Q418-Q419+Q420+Q421+Q422)</f>
        <v>4107</v>
      </c>
      <c r="R423" s="10">
        <f>SUM(R418-R419+R420+R421+R422)</f>
        <v>152</v>
      </c>
      <c r="S423" s="10">
        <f>SUM(S418-S419+S420+S421+S422)</f>
        <v>816</v>
      </c>
      <c r="T423" s="10">
        <f>SUM(T418+T419+T420+T421+T422)</f>
        <v>51</v>
      </c>
      <c r="U423" s="10">
        <f>SUM(U418+U419-U420-U421-U422)</f>
        <v>153950</v>
      </c>
      <c r="V423" s="10">
        <f>SUM(V418+V419-V420-V421-V422)</f>
        <v>32</v>
      </c>
      <c r="W423" s="10">
        <f>SUM(W418+W419-W420-W421-W422)</f>
        <v>0</v>
      </c>
      <c r="X423" s="10">
        <f>SUM(X418+X419-X420-X421-X422)</f>
        <v>75</v>
      </c>
      <c r="Y423" s="10">
        <f>SUM(Y418+Y419+Y420+Y421+Y422)</f>
        <v>49085</v>
      </c>
      <c r="Z423" s="10">
        <f>SUM(Z418+Z419+Z420+Z421+Z422)</f>
        <v>4090</v>
      </c>
      <c r="AA423" s="10">
        <f>SUM(AA418+AA419+AA420+AA421+AA422)</f>
        <v>27</v>
      </c>
      <c r="AB423" s="10">
        <f>SUM(AB418-AB419+AB420+AB421+AB422)</f>
        <v>907</v>
      </c>
      <c r="AC423" s="10">
        <f t="shared" ref="AC423:AL423" si="85">SUM(AC418+AC419-AC420-AC421-AC422)</f>
        <v>51</v>
      </c>
      <c r="AD423" s="10">
        <f t="shared" si="85"/>
        <v>330700</v>
      </c>
      <c r="AE423" s="10">
        <f t="shared" si="85"/>
        <v>129</v>
      </c>
      <c r="AF423" s="10">
        <f t="shared" si="85"/>
        <v>0</v>
      </c>
      <c r="AG423" s="10">
        <f t="shared" si="85"/>
        <v>0</v>
      </c>
      <c r="AH423" s="10">
        <f t="shared" si="85"/>
        <v>0</v>
      </c>
      <c r="AI423" s="10">
        <f t="shared" si="85"/>
        <v>0</v>
      </c>
      <c r="AJ423" s="10">
        <f t="shared" si="85"/>
        <v>0</v>
      </c>
      <c r="AK423" s="10">
        <f t="shared" si="85"/>
        <v>0</v>
      </c>
      <c r="AL423" s="10">
        <f t="shared" si="85"/>
        <v>0</v>
      </c>
      <c r="AM423" s="10">
        <f>SUM(AM418-AM419+AM420+AM421+AM422)</f>
        <v>1718</v>
      </c>
      <c r="AN423" s="10">
        <f>SUM(AN418-AN419+AN420+AN421+AN422)</f>
        <v>140</v>
      </c>
      <c r="AO423" s="10">
        <f>SUM(AO418-AO419+AO420+AO421+AO422)</f>
        <v>250</v>
      </c>
    </row>
    <row r="426" spans="1:41" ht="18.75" x14ac:dyDescent="0.3">
      <c r="A426" s="16" t="s">
        <v>70</v>
      </c>
      <c r="B426" s="27" t="s">
        <v>26</v>
      </c>
      <c r="C426" s="27"/>
      <c r="D426" s="27"/>
      <c r="E426" s="27"/>
      <c r="F426" s="27"/>
      <c r="G426" s="27"/>
      <c r="H426" s="27"/>
      <c r="I426" s="27"/>
      <c r="J426" s="27"/>
      <c r="K426" s="27"/>
      <c r="L426" s="27" t="s">
        <v>29</v>
      </c>
      <c r="M426" s="27"/>
      <c r="N426" s="27"/>
      <c r="O426" s="27"/>
      <c r="P426" s="27"/>
      <c r="Q426" s="27"/>
      <c r="R426" s="27"/>
      <c r="S426" s="27"/>
      <c r="T426" s="27"/>
      <c r="U426" s="27" t="s">
        <v>28</v>
      </c>
      <c r="V426" s="27"/>
      <c r="W426" s="27"/>
      <c r="X426" s="27"/>
      <c r="Y426" s="27"/>
      <c r="Z426" s="27"/>
      <c r="AA426" s="27"/>
      <c r="AB426" s="27"/>
      <c r="AC426" s="27"/>
      <c r="AD426" s="27" t="s">
        <v>27</v>
      </c>
      <c r="AE426" s="27"/>
      <c r="AF426" s="27"/>
      <c r="AG426" s="27"/>
      <c r="AH426" s="27"/>
      <c r="AI426" s="27"/>
      <c r="AJ426" s="27"/>
      <c r="AK426" s="27"/>
      <c r="AL426" s="27"/>
      <c r="AM426" s="27" t="s">
        <v>25</v>
      </c>
      <c r="AN426" s="27"/>
      <c r="AO426" s="27"/>
    </row>
    <row r="427" spans="1:41" ht="15" x14ac:dyDescent="0.25">
      <c r="A427" s="5" t="s">
        <v>74</v>
      </c>
      <c r="B427" s="1" t="s">
        <v>0</v>
      </c>
      <c r="C427" s="1" t="s">
        <v>1</v>
      </c>
      <c r="D427" s="1" t="s">
        <v>2</v>
      </c>
      <c r="E427" s="1" t="s">
        <v>3</v>
      </c>
      <c r="F427" s="1" t="s">
        <v>4</v>
      </c>
      <c r="G427" s="1" t="s">
        <v>5</v>
      </c>
      <c r="H427" s="1" t="s">
        <v>33</v>
      </c>
      <c r="I427" s="1" t="s">
        <v>6</v>
      </c>
      <c r="J427" s="1" t="s">
        <v>7</v>
      </c>
      <c r="K427" s="1" t="s">
        <v>8</v>
      </c>
      <c r="L427" s="1" t="s">
        <v>9</v>
      </c>
      <c r="M427" s="1" t="s">
        <v>30</v>
      </c>
      <c r="N427" s="1" t="s">
        <v>10</v>
      </c>
      <c r="O427" s="1" t="s">
        <v>11</v>
      </c>
      <c r="P427" s="1" t="s">
        <v>32</v>
      </c>
      <c r="Q427" s="1" t="s">
        <v>37</v>
      </c>
      <c r="R427" s="1" t="s">
        <v>31</v>
      </c>
      <c r="S427" s="6" t="s">
        <v>12</v>
      </c>
      <c r="T427" s="6" t="s">
        <v>13</v>
      </c>
      <c r="U427" s="6" t="s">
        <v>14</v>
      </c>
      <c r="V427" s="1" t="s">
        <v>30</v>
      </c>
      <c r="W427" s="6" t="s">
        <v>10</v>
      </c>
      <c r="X427" s="6" t="s">
        <v>15</v>
      </c>
      <c r="Y427" s="1" t="s">
        <v>32</v>
      </c>
      <c r="Z427" s="1" t="s">
        <v>37</v>
      </c>
      <c r="AA427" s="1" t="s">
        <v>31</v>
      </c>
      <c r="AB427" s="1" t="s">
        <v>12</v>
      </c>
      <c r="AC427" s="1" t="s">
        <v>13</v>
      </c>
      <c r="AD427" s="1" t="s">
        <v>9</v>
      </c>
      <c r="AE427" s="1" t="s">
        <v>30</v>
      </c>
      <c r="AF427" s="1" t="s">
        <v>10</v>
      </c>
      <c r="AG427" s="1" t="s">
        <v>11</v>
      </c>
      <c r="AH427" s="18" t="s">
        <v>32</v>
      </c>
      <c r="AI427" s="18" t="s">
        <v>37</v>
      </c>
      <c r="AJ427" s="1" t="s">
        <v>44</v>
      </c>
      <c r="AK427" s="7" t="s">
        <v>16</v>
      </c>
      <c r="AL427" s="8" t="s">
        <v>13</v>
      </c>
      <c r="AM427" s="1" t="s">
        <v>17</v>
      </c>
      <c r="AN427" s="8" t="s">
        <v>57</v>
      </c>
      <c r="AO427" s="8" t="s">
        <v>19</v>
      </c>
    </row>
    <row r="428" spans="1:41" ht="15" x14ac:dyDescent="0.25">
      <c r="A428" s="9" t="s">
        <v>20</v>
      </c>
      <c r="B428" s="10">
        <v>35117</v>
      </c>
      <c r="C428" s="10">
        <v>2036</v>
      </c>
      <c r="D428" s="10">
        <v>2140</v>
      </c>
      <c r="E428" s="10">
        <v>0</v>
      </c>
      <c r="F428" s="10">
        <v>16317</v>
      </c>
      <c r="G428" s="10">
        <v>5073</v>
      </c>
      <c r="H428" s="3">
        <v>0</v>
      </c>
      <c r="I428" s="25">
        <v>410</v>
      </c>
      <c r="J428" s="10">
        <v>3600</v>
      </c>
      <c r="K428" s="10">
        <v>127.849</v>
      </c>
      <c r="L428" s="10">
        <v>484750</v>
      </c>
      <c r="M428" s="10">
        <v>171</v>
      </c>
      <c r="N428" s="10">
        <v>0</v>
      </c>
      <c r="O428" s="10">
        <v>87</v>
      </c>
      <c r="P428" s="10">
        <v>49288</v>
      </c>
      <c r="Q428" s="10">
        <v>4107</v>
      </c>
      <c r="R428" s="10">
        <v>152</v>
      </c>
      <c r="S428" s="10">
        <v>816</v>
      </c>
      <c r="T428" s="10">
        <v>51</v>
      </c>
      <c r="U428" s="10">
        <v>153950</v>
      </c>
      <c r="V428" s="10">
        <v>32</v>
      </c>
      <c r="W428" s="10">
        <v>0</v>
      </c>
      <c r="X428" s="10">
        <v>75</v>
      </c>
      <c r="Y428" s="10">
        <v>49085</v>
      </c>
      <c r="Z428" s="10">
        <v>4090</v>
      </c>
      <c r="AA428" s="10">
        <v>27</v>
      </c>
      <c r="AB428" s="10">
        <v>907</v>
      </c>
      <c r="AC428" s="10">
        <v>51</v>
      </c>
      <c r="AD428" s="10">
        <v>330700</v>
      </c>
      <c r="AE428" s="10">
        <v>129</v>
      </c>
      <c r="AF428" s="10">
        <v>0</v>
      </c>
      <c r="AG428" s="19">
        <v>0</v>
      </c>
      <c r="AH428" s="20">
        <v>0</v>
      </c>
      <c r="AI428" s="20">
        <v>0</v>
      </c>
      <c r="AJ428" s="21">
        <v>0</v>
      </c>
      <c r="AK428" s="10">
        <v>0</v>
      </c>
      <c r="AL428" s="10">
        <v>0</v>
      </c>
      <c r="AM428" s="10">
        <v>1718</v>
      </c>
      <c r="AN428" s="10">
        <v>140</v>
      </c>
      <c r="AO428" s="26">
        <v>250</v>
      </c>
    </row>
    <row r="429" spans="1:41" ht="15" x14ac:dyDescent="0.25">
      <c r="A429" s="9" t="s">
        <v>21</v>
      </c>
      <c r="B429" s="10">
        <v>0</v>
      </c>
      <c r="C429" s="10">
        <f>SUM(2881+9607+9190-1680-1440-151-106-400)</f>
        <v>17901</v>
      </c>
      <c r="D429" s="10">
        <v>0</v>
      </c>
      <c r="E429" s="10">
        <v>0</v>
      </c>
      <c r="F429" s="10">
        <v>0</v>
      </c>
      <c r="G429" s="10">
        <f>SUM(2595+1410-20-15)</f>
        <v>3970</v>
      </c>
      <c r="H429" s="2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f>SUM(13125+12050)</f>
        <v>25175</v>
      </c>
      <c r="AE429" s="10">
        <v>0</v>
      </c>
      <c r="AF429" s="10">
        <v>0</v>
      </c>
      <c r="AG429" s="19">
        <v>0</v>
      </c>
      <c r="AH429" s="20">
        <v>0</v>
      </c>
      <c r="AI429" s="20">
        <v>0</v>
      </c>
      <c r="AJ429" s="21">
        <v>0</v>
      </c>
      <c r="AK429" s="10">
        <v>0</v>
      </c>
      <c r="AL429" s="10">
        <v>0</v>
      </c>
      <c r="AM429" s="10">
        <v>476</v>
      </c>
      <c r="AN429" s="19">
        <v>100</v>
      </c>
      <c r="AO429" s="20">
        <v>250</v>
      </c>
    </row>
    <row r="430" spans="1:41" ht="15" x14ac:dyDescent="0.25">
      <c r="A430" s="11" t="s">
        <v>22</v>
      </c>
      <c r="B430" s="12">
        <f>1980</f>
        <v>1980</v>
      </c>
      <c r="C430" s="17">
        <v>0</v>
      </c>
      <c r="D430" s="12">
        <v>0</v>
      </c>
      <c r="E430" s="12">
        <v>0</v>
      </c>
      <c r="F430" s="12">
        <v>2595</v>
      </c>
      <c r="G430" s="12">
        <v>0</v>
      </c>
      <c r="H430" s="4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0">
        <v>0</v>
      </c>
      <c r="Q430" s="10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22">
        <v>0</v>
      </c>
      <c r="AH430" s="20">
        <v>0</v>
      </c>
      <c r="AI430" s="20">
        <v>0</v>
      </c>
      <c r="AJ430" s="23">
        <v>0</v>
      </c>
      <c r="AK430" s="12">
        <v>0</v>
      </c>
      <c r="AL430" s="12">
        <v>0</v>
      </c>
      <c r="AM430" s="12">
        <v>0</v>
      </c>
      <c r="AN430" s="12">
        <v>0</v>
      </c>
      <c r="AO430" s="17">
        <v>0</v>
      </c>
    </row>
    <row r="431" spans="1:41" ht="15" x14ac:dyDescent="0.25">
      <c r="A431" s="13" t="s">
        <v>46</v>
      </c>
      <c r="B431" s="10">
        <v>9607</v>
      </c>
      <c r="C431" s="10">
        <v>8424</v>
      </c>
      <c r="D431" s="10">
        <v>0</v>
      </c>
      <c r="E431" s="10">
        <v>0</v>
      </c>
      <c r="F431" s="10">
        <v>1410</v>
      </c>
      <c r="G431" s="10">
        <v>3276</v>
      </c>
      <c r="H431" s="2">
        <v>0</v>
      </c>
      <c r="I431" s="10">
        <v>0</v>
      </c>
      <c r="J431" s="10">
        <v>1300</v>
      </c>
      <c r="K431" s="10">
        <v>6.5</v>
      </c>
      <c r="L431" s="10">
        <v>13125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24">
        <v>0</v>
      </c>
      <c r="AI431" s="24">
        <v>0</v>
      </c>
      <c r="AJ431" s="10">
        <v>0</v>
      </c>
      <c r="AK431" s="10">
        <v>0</v>
      </c>
      <c r="AL431" s="10">
        <v>0</v>
      </c>
      <c r="AM431" s="10">
        <v>1680</v>
      </c>
      <c r="AN431" s="10">
        <v>171</v>
      </c>
      <c r="AO431" s="15">
        <v>22</v>
      </c>
    </row>
    <row r="432" spans="1:41" ht="15" x14ac:dyDescent="0.25">
      <c r="A432" s="13" t="s">
        <v>47</v>
      </c>
      <c r="B432" s="10">
        <v>9190</v>
      </c>
      <c r="C432" s="10">
        <v>7776</v>
      </c>
      <c r="D432" s="10">
        <v>0</v>
      </c>
      <c r="E432" s="10">
        <v>0</v>
      </c>
      <c r="F432" s="10">
        <v>0</v>
      </c>
      <c r="G432" s="10">
        <v>3024</v>
      </c>
      <c r="H432" s="2">
        <v>0</v>
      </c>
      <c r="I432" s="10">
        <v>0</v>
      </c>
      <c r="J432" s="10">
        <v>1200</v>
      </c>
      <c r="K432" s="10">
        <v>6</v>
      </c>
      <c r="L432" s="10">
        <v>12050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24">
        <v>0</v>
      </c>
      <c r="AI432" s="24">
        <v>0</v>
      </c>
      <c r="AJ432" s="10">
        <v>0</v>
      </c>
      <c r="AK432" s="10">
        <v>0</v>
      </c>
      <c r="AL432" s="10">
        <v>0</v>
      </c>
      <c r="AM432" s="10">
        <v>1440</v>
      </c>
      <c r="AN432" s="10">
        <v>121</v>
      </c>
      <c r="AO432" s="15">
        <v>19</v>
      </c>
    </row>
    <row r="433" spans="1:41" ht="15" x14ac:dyDescent="0.25">
      <c r="A433" s="14" t="s">
        <v>24</v>
      </c>
      <c r="B433" s="10">
        <f t="shared" ref="B433:K433" si="86">SUM(B428+B429-B430-B431-B432)</f>
        <v>14340</v>
      </c>
      <c r="C433" s="10">
        <f t="shared" si="86"/>
        <v>3737</v>
      </c>
      <c r="D433" s="10">
        <f t="shared" si="86"/>
        <v>2140</v>
      </c>
      <c r="E433" s="10">
        <f t="shared" si="86"/>
        <v>0</v>
      </c>
      <c r="F433" s="10">
        <f t="shared" si="86"/>
        <v>12312</v>
      </c>
      <c r="G433" s="10">
        <f t="shared" si="86"/>
        <v>2743</v>
      </c>
      <c r="H433" s="2">
        <f t="shared" si="86"/>
        <v>0</v>
      </c>
      <c r="I433" s="10">
        <f t="shared" si="86"/>
        <v>410</v>
      </c>
      <c r="J433" s="10">
        <f t="shared" si="86"/>
        <v>1100</v>
      </c>
      <c r="K433" s="10">
        <f t="shared" si="86"/>
        <v>115.349</v>
      </c>
      <c r="L433" s="10">
        <f>SUM(L428+L430+L431+L432)</f>
        <v>509925</v>
      </c>
      <c r="M433" s="10">
        <f>SUM(M428+M429+M430+M431+M432)</f>
        <v>171</v>
      </c>
      <c r="N433" s="10">
        <f>SUM(N428+N429-N430-N431-N432)</f>
        <v>0</v>
      </c>
      <c r="O433" s="10">
        <f>SUM(O428+O429-O430-O431-O432)</f>
        <v>87</v>
      </c>
      <c r="P433" s="10">
        <f>SUM(P428+P429+P430+P432)</f>
        <v>49288</v>
      </c>
      <c r="Q433" s="10">
        <f>SUM(Q428-Q429+Q430+Q431+Q432)</f>
        <v>4107</v>
      </c>
      <c r="R433" s="10">
        <f>SUM(R428-R429+R430+R431+R432)</f>
        <v>152</v>
      </c>
      <c r="S433" s="10">
        <f>SUM(S428-S429+S430+S431+S432)</f>
        <v>816</v>
      </c>
      <c r="T433" s="10">
        <f>SUM(T428+T429+T430+T431+T432)</f>
        <v>51</v>
      </c>
      <c r="U433" s="10">
        <f>SUM(U428+U429-U430-U431-U432)</f>
        <v>153950</v>
      </c>
      <c r="V433" s="10">
        <f>SUM(V428+V429-V430-V431-V432)</f>
        <v>32</v>
      </c>
      <c r="W433" s="10">
        <f>SUM(W428+W429-W430-W431-W432)</f>
        <v>0</v>
      </c>
      <c r="X433" s="10">
        <f>SUM(X428+X429-X430-X431-X432)</f>
        <v>75</v>
      </c>
      <c r="Y433" s="10">
        <f>SUM(Y428+Y429+Y430+Y431+Y432)</f>
        <v>49085</v>
      </c>
      <c r="Z433" s="10">
        <f>SUM(Z428+Z429+Z430+Z431+Z432)</f>
        <v>4090</v>
      </c>
      <c r="AA433" s="10">
        <f>SUM(AA428+AA429+AA430+AA431+AA432)</f>
        <v>27</v>
      </c>
      <c r="AB433" s="10">
        <f>SUM(AB428-AB429+AB430+AB431+AB432)</f>
        <v>907</v>
      </c>
      <c r="AC433" s="10">
        <f t="shared" ref="AC433:AL433" si="87">SUM(AC428+AC429-AC430-AC431-AC432)</f>
        <v>51</v>
      </c>
      <c r="AD433" s="10">
        <f t="shared" si="87"/>
        <v>355875</v>
      </c>
      <c r="AE433" s="10">
        <f t="shared" si="87"/>
        <v>129</v>
      </c>
      <c r="AF433" s="10">
        <f t="shared" si="87"/>
        <v>0</v>
      </c>
      <c r="AG433" s="10">
        <f t="shared" si="87"/>
        <v>0</v>
      </c>
      <c r="AH433" s="10">
        <f t="shared" si="87"/>
        <v>0</v>
      </c>
      <c r="AI433" s="10">
        <f t="shared" si="87"/>
        <v>0</v>
      </c>
      <c r="AJ433" s="10">
        <f t="shared" si="87"/>
        <v>0</v>
      </c>
      <c r="AK433" s="10">
        <f t="shared" si="87"/>
        <v>0</v>
      </c>
      <c r="AL433" s="10">
        <f t="shared" si="87"/>
        <v>0</v>
      </c>
      <c r="AM433" s="10">
        <f>SUM(AM428-AM429+AM430+AM431+AM432)</f>
        <v>4362</v>
      </c>
      <c r="AN433" s="10">
        <f>SUM(AN428-AN429+AN430+AN431+AN432)</f>
        <v>332</v>
      </c>
      <c r="AO433" s="10">
        <f>SUM(AO428-AO429+AO430+AO431+AO432)</f>
        <v>41</v>
      </c>
    </row>
    <row r="436" spans="1:41" ht="18.75" x14ac:dyDescent="0.3">
      <c r="A436" s="16" t="s">
        <v>71</v>
      </c>
      <c r="B436" s="27" t="s">
        <v>26</v>
      </c>
      <c r="C436" s="27"/>
      <c r="D436" s="27"/>
      <c r="E436" s="27"/>
      <c r="F436" s="27"/>
      <c r="G436" s="27"/>
      <c r="H436" s="27"/>
      <c r="I436" s="27"/>
      <c r="J436" s="27"/>
      <c r="K436" s="27"/>
      <c r="L436" s="27" t="s">
        <v>29</v>
      </c>
      <c r="M436" s="27"/>
      <c r="N436" s="27"/>
      <c r="O436" s="27"/>
      <c r="P436" s="27"/>
      <c r="Q436" s="27"/>
      <c r="R436" s="27"/>
      <c r="S436" s="27"/>
      <c r="T436" s="27"/>
      <c r="U436" s="27" t="s">
        <v>28</v>
      </c>
      <c r="V436" s="27"/>
      <c r="W436" s="27"/>
      <c r="X436" s="27"/>
      <c r="Y436" s="27"/>
      <c r="Z436" s="27"/>
      <c r="AA436" s="27"/>
      <c r="AB436" s="27"/>
      <c r="AC436" s="27"/>
      <c r="AD436" s="27" t="s">
        <v>27</v>
      </c>
      <c r="AE436" s="27"/>
      <c r="AF436" s="27"/>
      <c r="AG436" s="27"/>
      <c r="AH436" s="27"/>
      <c r="AI436" s="27"/>
      <c r="AJ436" s="27"/>
      <c r="AK436" s="27"/>
      <c r="AL436" s="27"/>
      <c r="AM436" s="27" t="s">
        <v>25</v>
      </c>
      <c r="AN436" s="27"/>
      <c r="AO436" s="27"/>
    </row>
    <row r="437" spans="1:41" ht="15" x14ac:dyDescent="0.25">
      <c r="A437" s="5" t="s">
        <v>74</v>
      </c>
      <c r="B437" s="1" t="s">
        <v>0</v>
      </c>
      <c r="C437" s="1" t="s">
        <v>1</v>
      </c>
      <c r="D437" s="1" t="s">
        <v>2</v>
      </c>
      <c r="E437" s="1" t="s">
        <v>3</v>
      </c>
      <c r="F437" s="1" t="s">
        <v>4</v>
      </c>
      <c r="G437" s="1" t="s">
        <v>5</v>
      </c>
      <c r="H437" s="1" t="s">
        <v>33</v>
      </c>
      <c r="I437" s="1" t="s">
        <v>6</v>
      </c>
      <c r="J437" s="1" t="s">
        <v>7</v>
      </c>
      <c r="K437" s="1" t="s">
        <v>8</v>
      </c>
      <c r="L437" s="1" t="s">
        <v>9</v>
      </c>
      <c r="M437" s="1" t="s">
        <v>30</v>
      </c>
      <c r="N437" s="1" t="s">
        <v>10</v>
      </c>
      <c r="O437" s="1" t="s">
        <v>11</v>
      </c>
      <c r="P437" s="1" t="s">
        <v>32</v>
      </c>
      <c r="Q437" s="1" t="s">
        <v>37</v>
      </c>
      <c r="R437" s="1" t="s">
        <v>31</v>
      </c>
      <c r="S437" s="6" t="s">
        <v>12</v>
      </c>
      <c r="T437" s="6" t="s">
        <v>13</v>
      </c>
      <c r="U437" s="6" t="s">
        <v>14</v>
      </c>
      <c r="V437" s="1" t="s">
        <v>30</v>
      </c>
      <c r="W437" s="6" t="s">
        <v>10</v>
      </c>
      <c r="X437" s="6" t="s">
        <v>15</v>
      </c>
      <c r="Y437" s="1" t="s">
        <v>32</v>
      </c>
      <c r="Z437" s="1" t="s">
        <v>37</v>
      </c>
      <c r="AA437" s="1" t="s">
        <v>31</v>
      </c>
      <c r="AB437" s="1" t="s">
        <v>12</v>
      </c>
      <c r="AC437" s="1" t="s">
        <v>13</v>
      </c>
      <c r="AD437" s="1" t="s">
        <v>9</v>
      </c>
      <c r="AE437" s="1" t="s">
        <v>30</v>
      </c>
      <c r="AF437" s="1" t="s">
        <v>10</v>
      </c>
      <c r="AG437" s="1" t="s">
        <v>11</v>
      </c>
      <c r="AH437" s="18" t="s">
        <v>32</v>
      </c>
      <c r="AI437" s="18" t="s">
        <v>37</v>
      </c>
      <c r="AJ437" s="1" t="s">
        <v>44</v>
      </c>
      <c r="AK437" s="7" t="s">
        <v>16</v>
      </c>
      <c r="AL437" s="8" t="s">
        <v>13</v>
      </c>
      <c r="AM437" s="1" t="s">
        <v>17</v>
      </c>
      <c r="AN437" s="8" t="s">
        <v>57</v>
      </c>
      <c r="AO437" s="8" t="s">
        <v>19</v>
      </c>
    </row>
    <row r="438" spans="1:41" ht="15" x14ac:dyDescent="0.25">
      <c r="A438" s="9" t="s">
        <v>20</v>
      </c>
      <c r="B438" s="10">
        <v>14340</v>
      </c>
      <c r="C438" s="10">
        <v>3737</v>
      </c>
      <c r="D438" s="10">
        <v>2140</v>
      </c>
      <c r="E438" s="10">
        <v>0</v>
      </c>
      <c r="F438" s="10">
        <v>12312</v>
      </c>
      <c r="G438" s="10">
        <v>2743</v>
      </c>
      <c r="H438" s="3">
        <v>0</v>
      </c>
      <c r="I438" s="25">
        <v>410</v>
      </c>
      <c r="J438" s="10">
        <v>1100</v>
      </c>
      <c r="K438" s="10">
        <v>115.349</v>
      </c>
      <c r="L438" s="10">
        <v>509925</v>
      </c>
      <c r="M438" s="10">
        <v>171</v>
      </c>
      <c r="N438" s="10">
        <v>0</v>
      </c>
      <c r="O438" s="10">
        <v>87</v>
      </c>
      <c r="P438" s="10">
        <v>49288</v>
      </c>
      <c r="Q438" s="10">
        <v>4107</v>
      </c>
      <c r="R438" s="10">
        <v>152</v>
      </c>
      <c r="S438" s="10">
        <v>816</v>
      </c>
      <c r="T438" s="10">
        <v>51</v>
      </c>
      <c r="U438" s="10">
        <v>153950</v>
      </c>
      <c r="V438" s="10">
        <v>32</v>
      </c>
      <c r="W438" s="10">
        <v>0</v>
      </c>
      <c r="X438" s="10">
        <v>75</v>
      </c>
      <c r="Y438" s="10">
        <v>49085</v>
      </c>
      <c r="Z438" s="10">
        <v>4090</v>
      </c>
      <c r="AA438" s="10">
        <v>27</v>
      </c>
      <c r="AB438" s="10">
        <v>907</v>
      </c>
      <c r="AC438" s="10">
        <v>51</v>
      </c>
      <c r="AD438" s="10">
        <v>355875</v>
      </c>
      <c r="AE438" s="10">
        <v>129</v>
      </c>
      <c r="AF438" s="10">
        <v>0</v>
      </c>
      <c r="AG438" s="19">
        <v>0</v>
      </c>
      <c r="AH438" s="20">
        <v>0</v>
      </c>
      <c r="AI438" s="20">
        <v>0</v>
      </c>
      <c r="AJ438" s="21">
        <v>0</v>
      </c>
      <c r="AK438" s="10">
        <v>0</v>
      </c>
      <c r="AL438" s="10">
        <v>0</v>
      </c>
      <c r="AM438" s="10">
        <v>4362</v>
      </c>
      <c r="AN438" s="10">
        <v>332</v>
      </c>
      <c r="AO438" s="26">
        <v>41</v>
      </c>
    </row>
    <row r="439" spans="1:41" ht="15" x14ac:dyDescent="0.25">
      <c r="A439" s="9" t="s">
        <v>21</v>
      </c>
      <c r="B439" s="10">
        <v>0</v>
      </c>
      <c r="C439" s="10">
        <f>SUM(8864+2937-1080-99-650-47-330-300)</f>
        <v>9295</v>
      </c>
      <c r="D439" s="10">
        <v>0</v>
      </c>
      <c r="E439" s="10">
        <v>0</v>
      </c>
      <c r="F439" s="10">
        <v>0</v>
      </c>
      <c r="G439" s="10">
        <f>SUM(1240+485-26-10)</f>
        <v>1689</v>
      </c>
      <c r="H439" s="2">
        <v>0</v>
      </c>
      <c r="I439" s="10">
        <v>0</v>
      </c>
      <c r="J439" s="10">
        <v>1500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f>SUM(125*25)</f>
        <v>3125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f>SUM(8125+4050)</f>
        <v>12175</v>
      </c>
      <c r="AE439" s="10">
        <v>0</v>
      </c>
      <c r="AF439" s="10">
        <v>0</v>
      </c>
      <c r="AG439" s="19">
        <v>0</v>
      </c>
      <c r="AH439" s="20">
        <v>0</v>
      </c>
      <c r="AI439" s="20">
        <v>0</v>
      </c>
      <c r="AJ439" s="21">
        <v>0</v>
      </c>
      <c r="AK439" s="10">
        <v>0</v>
      </c>
      <c r="AL439" s="10">
        <v>0</v>
      </c>
      <c r="AM439" s="10">
        <v>6110</v>
      </c>
      <c r="AN439" s="19">
        <v>0</v>
      </c>
      <c r="AO439" s="20">
        <v>0</v>
      </c>
    </row>
    <row r="440" spans="1:41" ht="15" x14ac:dyDescent="0.25">
      <c r="A440" s="11" t="s">
        <v>22</v>
      </c>
      <c r="B440" s="12">
        <v>8864</v>
      </c>
      <c r="C440" s="17">
        <f>25+SUM(5184)</f>
        <v>5209</v>
      </c>
      <c r="D440" s="12">
        <v>0</v>
      </c>
      <c r="E440" s="12">
        <v>0</v>
      </c>
      <c r="F440" s="12">
        <v>1240</v>
      </c>
      <c r="G440" s="12">
        <v>2016</v>
      </c>
      <c r="H440" s="4">
        <v>0</v>
      </c>
      <c r="I440" s="12">
        <v>0</v>
      </c>
      <c r="J440" s="12">
        <v>800</v>
      </c>
      <c r="K440" s="12">
        <v>4</v>
      </c>
      <c r="L440" s="12">
        <v>8125</v>
      </c>
      <c r="M440" s="12">
        <v>0</v>
      </c>
      <c r="N440" s="12">
        <v>0</v>
      </c>
      <c r="O440" s="12">
        <v>0</v>
      </c>
      <c r="P440" s="10">
        <v>0</v>
      </c>
      <c r="Q440" s="10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3125</v>
      </c>
      <c r="AE440" s="12">
        <v>0</v>
      </c>
      <c r="AF440" s="12">
        <v>0</v>
      </c>
      <c r="AG440" s="22">
        <v>0</v>
      </c>
      <c r="AH440" s="20">
        <v>0</v>
      </c>
      <c r="AI440" s="20">
        <v>0</v>
      </c>
      <c r="AJ440" s="23">
        <v>0</v>
      </c>
      <c r="AK440" s="12">
        <v>0</v>
      </c>
      <c r="AL440" s="12">
        <v>0</v>
      </c>
      <c r="AM440" s="12">
        <f>1080+SUM(668)</f>
        <v>1748</v>
      </c>
      <c r="AN440" s="12">
        <v>125</v>
      </c>
      <c r="AO440" s="17">
        <v>21</v>
      </c>
    </row>
    <row r="441" spans="1:41" ht="15" x14ac:dyDescent="0.25">
      <c r="A441" s="13" t="s">
        <v>46</v>
      </c>
      <c r="B441" s="10">
        <v>2937</v>
      </c>
      <c r="C441" s="10">
        <v>2592</v>
      </c>
      <c r="D441" s="10">
        <v>0</v>
      </c>
      <c r="E441" s="10">
        <v>0</v>
      </c>
      <c r="F441" s="10">
        <v>485</v>
      </c>
      <c r="G441" s="10">
        <v>1008</v>
      </c>
      <c r="H441" s="2">
        <v>0</v>
      </c>
      <c r="I441" s="10">
        <v>0</v>
      </c>
      <c r="J441" s="10">
        <v>400</v>
      </c>
      <c r="K441" s="10">
        <v>2</v>
      </c>
      <c r="L441" s="10">
        <v>4050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24">
        <v>0</v>
      </c>
      <c r="AI441" s="24">
        <v>0</v>
      </c>
      <c r="AJ441" s="10">
        <v>0</v>
      </c>
      <c r="AK441" s="10">
        <v>0</v>
      </c>
      <c r="AL441" s="10">
        <v>0</v>
      </c>
      <c r="AM441" s="10">
        <v>650</v>
      </c>
      <c r="AN441" s="10">
        <v>57</v>
      </c>
      <c r="AO441" s="15">
        <v>2</v>
      </c>
    </row>
    <row r="442" spans="1:41" ht="15" x14ac:dyDescent="0.25">
      <c r="A442" s="13" t="s">
        <v>47</v>
      </c>
      <c r="B442" s="10">
        <v>0</v>
      </c>
      <c r="C442" s="10">
        <v>4400</v>
      </c>
      <c r="D442" s="10">
        <v>0</v>
      </c>
      <c r="E442" s="10">
        <v>0</v>
      </c>
      <c r="F442" s="10">
        <v>0</v>
      </c>
      <c r="G442" s="10">
        <v>0</v>
      </c>
      <c r="H442" s="2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24">
        <v>0</v>
      </c>
      <c r="AI442" s="24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330</v>
      </c>
      <c r="AO442" s="15">
        <v>0</v>
      </c>
    </row>
    <row r="443" spans="1:41" ht="15" x14ac:dyDescent="0.25">
      <c r="A443" s="14" t="s">
        <v>24</v>
      </c>
      <c r="B443" s="10">
        <f t="shared" ref="B443:K443" si="88">SUM(B438+B439-B440-B441-B442)</f>
        <v>2539</v>
      </c>
      <c r="C443" s="10">
        <f t="shared" si="88"/>
        <v>831</v>
      </c>
      <c r="D443" s="10">
        <f t="shared" si="88"/>
        <v>2140</v>
      </c>
      <c r="E443" s="10">
        <f t="shared" si="88"/>
        <v>0</v>
      </c>
      <c r="F443" s="10">
        <f t="shared" si="88"/>
        <v>10587</v>
      </c>
      <c r="G443" s="10">
        <f t="shared" si="88"/>
        <v>1408</v>
      </c>
      <c r="H443" s="2">
        <f t="shared" si="88"/>
        <v>0</v>
      </c>
      <c r="I443" s="10">
        <f t="shared" si="88"/>
        <v>410</v>
      </c>
      <c r="J443" s="10">
        <f t="shared" si="88"/>
        <v>1400</v>
      </c>
      <c r="K443" s="10">
        <f t="shared" si="88"/>
        <v>109.349</v>
      </c>
      <c r="L443" s="10">
        <f>SUM(L438+L440+L441+L442)</f>
        <v>522100</v>
      </c>
      <c r="M443" s="10">
        <f>SUM(M438+M439+M440+M441+M442)</f>
        <v>171</v>
      </c>
      <c r="N443" s="10">
        <f>SUM(N438+N439-N440-N441-N442)</f>
        <v>0</v>
      </c>
      <c r="O443" s="10">
        <f>SUM(O438+O439-O440-O441-O442)</f>
        <v>87</v>
      </c>
      <c r="P443" s="10">
        <f>SUM(P438+P439+P440+P442)</f>
        <v>49288</v>
      </c>
      <c r="Q443" s="10">
        <f>SUM(Q438-Q439+Q440+Q441+Q442)</f>
        <v>4107</v>
      </c>
      <c r="R443" s="10">
        <f>SUM(R438-R439+R440+R441+R442)</f>
        <v>152</v>
      </c>
      <c r="S443" s="10">
        <f>SUM(S438-S439+S440+S441+S442)</f>
        <v>816</v>
      </c>
      <c r="T443" s="10">
        <f>SUM(T438+T439+T440+T441+T442)</f>
        <v>51</v>
      </c>
      <c r="U443" s="10">
        <f>SUM(U438+U439-U440-U441-U442)</f>
        <v>157075</v>
      </c>
      <c r="V443" s="10">
        <f>SUM(V438+V439-V440-V441-V442)</f>
        <v>32</v>
      </c>
      <c r="W443" s="10">
        <f>SUM(W438+W439-W440-W441-W442)</f>
        <v>0</v>
      </c>
      <c r="X443" s="10">
        <f>SUM(X438+X439-X440-X441-X442)</f>
        <v>75</v>
      </c>
      <c r="Y443" s="10">
        <f>SUM(Y438+Y439+Y440+Y441+Y442)</f>
        <v>49085</v>
      </c>
      <c r="Z443" s="10">
        <f>SUM(Z438+Z439+Z440+Z441+Z442)</f>
        <v>4090</v>
      </c>
      <c r="AA443" s="10">
        <f>SUM(AA438+AA439+AA440+AA441+AA442)</f>
        <v>27</v>
      </c>
      <c r="AB443" s="10">
        <f>SUM(AB438-AB439+AB440+AB441+AB442)</f>
        <v>907</v>
      </c>
      <c r="AC443" s="10">
        <f t="shared" ref="AC443:AL443" si="89">SUM(AC438+AC439-AC440-AC441-AC442)</f>
        <v>51</v>
      </c>
      <c r="AD443" s="10">
        <f t="shared" si="89"/>
        <v>364925</v>
      </c>
      <c r="AE443" s="10">
        <f t="shared" si="89"/>
        <v>129</v>
      </c>
      <c r="AF443" s="10">
        <f t="shared" si="89"/>
        <v>0</v>
      </c>
      <c r="AG443" s="10">
        <f t="shared" si="89"/>
        <v>0</v>
      </c>
      <c r="AH443" s="10">
        <f t="shared" si="89"/>
        <v>0</v>
      </c>
      <c r="AI443" s="10">
        <f t="shared" si="89"/>
        <v>0</v>
      </c>
      <c r="AJ443" s="10">
        <f t="shared" si="89"/>
        <v>0</v>
      </c>
      <c r="AK443" s="10">
        <f t="shared" si="89"/>
        <v>0</v>
      </c>
      <c r="AL443" s="10">
        <f t="shared" si="89"/>
        <v>0</v>
      </c>
      <c r="AM443" s="10">
        <f>SUM(AM438-AM439+AM440+AM441+AM442)</f>
        <v>650</v>
      </c>
      <c r="AN443" s="10">
        <f>SUM(AN438-AN439+AN440+AN441+AN442)</f>
        <v>844</v>
      </c>
      <c r="AO443" s="10">
        <f>SUM(AO438-AO439+AO440+AO441+AO442)</f>
        <v>64</v>
      </c>
    </row>
    <row r="446" spans="1:41" ht="18.75" x14ac:dyDescent="0.3">
      <c r="A446" s="16" t="s">
        <v>72</v>
      </c>
      <c r="B446" s="27" t="s">
        <v>26</v>
      </c>
      <c r="C446" s="27"/>
      <c r="D446" s="27"/>
      <c r="E446" s="27"/>
      <c r="F446" s="27"/>
      <c r="G446" s="27"/>
      <c r="H446" s="27"/>
      <c r="I446" s="27"/>
      <c r="J446" s="27"/>
      <c r="K446" s="27"/>
      <c r="L446" s="27" t="s">
        <v>29</v>
      </c>
      <c r="M446" s="27"/>
      <c r="N446" s="27"/>
      <c r="O446" s="27"/>
      <c r="P446" s="27"/>
      <c r="Q446" s="27"/>
      <c r="R446" s="27"/>
      <c r="S446" s="27"/>
      <c r="T446" s="27"/>
      <c r="U446" s="27" t="s">
        <v>28</v>
      </c>
      <c r="V446" s="27"/>
      <c r="W446" s="27"/>
      <c r="X446" s="27"/>
      <c r="Y446" s="27"/>
      <c r="Z446" s="27"/>
      <c r="AA446" s="27"/>
      <c r="AB446" s="27"/>
      <c r="AC446" s="27"/>
      <c r="AD446" s="27" t="s">
        <v>27</v>
      </c>
      <c r="AE446" s="27"/>
      <c r="AF446" s="27"/>
      <c r="AG446" s="27"/>
      <c r="AH446" s="27"/>
      <c r="AI446" s="27"/>
      <c r="AJ446" s="27"/>
      <c r="AK446" s="27"/>
      <c r="AL446" s="27"/>
      <c r="AM446" s="27" t="s">
        <v>25</v>
      </c>
      <c r="AN446" s="27"/>
      <c r="AO446" s="27"/>
    </row>
    <row r="447" spans="1:41" ht="15" x14ac:dyDescent="0.25">
      <c r="A447" s="5" t="s">
        <v>74</v>
      </c>
      <c r="B447" s="1" t="s">
        <v>0</v>
      </c>
      <c r="C447" s="1" t="s">
        <v>1</v>
      </c>
      <c r="D447" s="1" t="s">
        <v>2</v>
      </c>
      <c r="E447" s="1" t="s">
        <v>3</v>
      </c>
      <c r="F447" s="1" t="s">
        <v>4</v>
      </c>
      <c r="G447" s="1" t="s">
        <v>5</v>
      </c>
      <c r="H447" s="1" t="s">
        <v>33</v>
      </c>
      <c r="I447" s="1" t="s">
        <v>6</v>
      </c>
      <c r="J447" s="1" t="s">
        <v>7</v>
      </c>
      <c r="K447" s="1" t="s">
        <v>8</v>
      </c>
      <c r="L447" s="1" t="s">
        <v>9</v>
      </c>
      <c r="M447" s="1" t="s">
        <v>30</v>
      </c>
      <c r="N447" s="1" t="s">
        <v>10</v>
      </c>
      <c r="O447" s="1" t="s">
        <v>11</v>
      </c>
      <c r="P447" s="1" t="s">
        <v>32</v>
      </c>
      <c r="Q447" s="1" t="s">
        <v>37</v>
      </c>
      <c r="R447" s="1" t="s">
        <v>31</v>
      </c>
      <c r="S447" s="6" t="s">
        <v>12</v>
      </c>
      <c r="T447" s="6" t="s">
        <v>13</v>
      </c>
      <c r="U447" s="6" t="s">
        <v>14</v>
      </c>
      <c r="V447" s="1" t="s">
        <v>30</v>
      </c>
      <c r="W447" s="6" t="s">
        <v>10</v>
      </c>
      <c r="X447" s="6" t="s">
        <v>15</v>
      </c>
      <c r="Y447" s="1" t="s">
        <v>32</v>
      </c>
      <c r="Z447" s="1" t="s">
        <v>37</v>
      </c>
      <c r="AA447" s="1" t="s">
        <v>31</v>
      </c>
      <c r="AB447" s="1" t="s">
        <v>12</v>
      </c>
      <c r="AC447" s="1" t="s">
        <v>13</v>
      </c>
      <c r="AD447" s="1" t="s">
        <v>9</v>
      </c>
      <c r="AE447" s="1" t="s">
        <v>30</v>
      </c>
      <c r="AF447" s="1" t="s">
        <v>10</v>
      </c>
      <c r="AG447" s="1" t="s">
        <v>11</v>
      </c>
      <c r="AH447" s="18" t="s">
        <v>32</v>
      </c>
      <c r="AI447" s="18" t="s">
        <v>37</v>
      </c>
      <c r="AJ447" s="1" t="s">
        <v>44</v>
      </c>
      <c r="AK447" s="7" t="s">
        <v>16</v>
      </c>
      <c r="AL447" s="8" t="s">
        <v>13</v>
      </c>
      <c r="AM447" s="1" t="s">
        <v>17</v>
      </c>
      <c r="AN447" s="8" t="s">
        <v>57</v>
      </c>
      <c r="AO447" s="8" t="s">
        <v>19</v>
      </c>
    </row>
    <row r="448" spans="1:41" ht="15" x14ac:dyDescent="0.25">
      <c r="A448" s="9" t="s">
        <v>20</v>
      </c>
      <c r="B448" s="10">
        <v>2539</v>
      </c>
      <c r="C448" s="10">
        <v>831</v>
      </c>
      <c r="D448" s="10">
        <v>2140</v>
      </c>
      <c r="E448" s="10">
        <v>0</v>
      </c>
      <c r="F448" s="10">
        <v>10587</v>
      </c>
      <c r="G448" s="10">
        <v>1408</v>
      </c>
      <c r="H448" s="3">
        <v>0</v>
      </c>
      <c r="I448" s="25">
        <v>410</v>
      </c>
      <c r="J448" s="10">
        <v>1400</v>
      </c>
      <c r="K448" s="10">
        <v>109.349</v>
      </c>
      <c r="L448" s="10">
        <v>522100</v>
      </c>
      <c r="M448" s="10">
        <v>171</v>
      </c>
      <c r="N448" s="10">
        <v>0</v>
      </c>
      <c r="O448" s="10">
        <v>87</v>
      </c>
      <c r="P448" s="10">
        <v>49288</v>
      </c>
      <c r="Q448" s="10">
        <v>4107</v>
      </c>
      <c r="R448" s="10">
        <v>152</v>
      </c>
      <c r="S448" s="10">
        <v>816</v>
      </c>
      <c r="T448" s="10">
        <v>51</v>
      </c>
      <c r="U448" s="10">
        <v>157055</v>
      </c>
      <c r="V448" s="10">
        <v>32</v>
      </c>
      <c r="W448" s="10">
        <v>0</v>
      </c>
      <c r="X448" s="10">
        <v>75</v>
      </c>
      <c r="Y448" s="10">
        <v>49085</v>
      </c>
      <c r="Z448" s="10">
        <v>4090</v>
      </c>
      <c r="AA448" s="10">
        <v>27</v>
      </c>
      <c r="AB448" s="10">
        <v>907</v>
      </c>
      <c r="AC448" s="10">
        <v>51</v>
      </c>
      <c r="AD448" s="10">
        <v>364925</v>
      </c>
      <c r="AE448" s="10">
        <v>129</v>
      </c>
      <c r="AF448" s="10">
        <v>0</v>
      </c>
      <c r="AG448" s="19">
        <v>0</v>
      </c>
      <c r="AH448" s="20">
        <v>0</v>
      </c>
      <c r="AI448" s="20">
        <v>0</v>
      </c>
      <c r="AJ448" s="21">
        <v>0</v>
      </c>
      <c r="AK448" s="10">
        <v>0</v>
      </c>
      <c r="AL448" s="10">
        <v>0</v>
      </c>
      <c r="AM448" s="10">
        <v>650</v>
      </c>
      <c r="AN448" s="10">
        <v>844</v>
      </c>
      <c r="AO448" s="26">
        <v>64</v>
      </c>
    </row>
    <row r="449" spans="1:41" ht="15" x14ac:dyDescent="0.25">
      <c r="A449" s="9" t="s">
        <v>21</v>
      </c>
      <c r="B449" s="10">
        <v>0</v>
      </c>
      <c r="C449" s="10">
        <f>SUM(2539-540-100-100)</f>
        <v>1799</v>
      </c>
      <c r="D449" s="10">
        <v>0</v>
      </c>
      <c r="E449" s="10">
        <v>0</v>
      </c>
      <c r="F449" s="10">
        <v>0</v>
      </c>
      <c r="G449" s="10">
        <f>SUM(516-20+4217-115)</f>
        <v>4598</v>
      </c>
      <c r="H449" s="2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3725</v>
      </c>
      <c r="AE449" s="10">
        <v>0</v>
      </c>
      <c r="AF449" s="10">
        <v>0</v>
      </c>
      <c r="AG449" s="19">
        <v>0</v>
      </c>
      <c r="AH449" s="20">
        <v>0</v>
      </c>
      <c r="AI449" s="20">
        <v>0</v>
      </c>
      <c r="AJ449" s="21">
        <v>0</v>
      </c>
      <c r="AK449" s="10">
        <v>0</v>
      </c>
      <c r="AL449" s="10">
        <v>0</v>
      </c>
      <c r="AM449" s="10">
        <v>552</v>
      </c>
      <c r="AN449" s="19">
        <v>330</v>
      </c>
      <c r="AO449" s="20">
        <v>0</v>
      </c>
    </row>
    <row r="450" spans="1:41" ht="15" x14ac:dyDescent="0.25">
      <c r="A450" s="11" t="s">
        <v>22</v>
      </c>
      <c r="B450" s="12">
        <v>2539</v>
      </c>
      <c r="C450" s="17">
        <v>2404</v>
      </c>
      <c r="D450" s="12">
        <v>0</v>
      </c>
      <c r="E450" s="12">
        <v>0</v>
      </c>
      <c r="F450" s="12">
        <v>516</v>
      </c>
      <c r="G450" s="12">
        <v>935</v>
      </c>
      <c r="H450" s="4">
        <v>0</v>
      </c>
      <c r="I450" s="12">
        <v>0</v>
      </c>
      <c r="J450" s="12">
        <v>370</v>
      </c>
      <c r="K450" s="12">
        <v>1.85</v>
      </c>
      <c r="L450" s="12">
        <f>SUM(149*25)</f>
        <v>3725</v>
      </c>
      <c r="M450" s="12">
        <v>0</v>
      </c>
      <c r="N450" s="12">
        <v>0</v>
      </c>
      <c r="O450" s="12">
        <v>0</v>
      </c>
      <c r="P450" s="10">
        <v>0</v>
      </c>
      <c r="Q450" s="10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22">
        <v>0</v>
      </c>
      <c r="AH450" s="20">
        <v>0</v>
      </c>
      <c r="AI450" s="20">
        <v>0</v>
      </c>
      <c r="AJ450" s="23">
        <v>0</v>
      </c>
      <c r="AK450" s="12">
        <v>0</v>
      </c>
      <c r="AL450" s="12">
        <v>0</v>
      </c>
      <c r="AM450" s="12">
        <v>526</v>
      </c>
      <c r="AN450" s="12">
        <v>100</v>
      </c>
      <c r="AO450" s="17">
        <v>0</v>
      </c>
    </row>
    <row r="451" spans="1:41" ht="15" x14ac:dyDescent="0.25">
      <c r="A451" s="13" t="s">
        <v>46</v>
      </c>
      <c r="B451" s="10">
        <v>0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2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24">
        <v>0</v>
      </c>
      <c r="AI451" s="24">
        <v>0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5">
        <v>0</v>
      </c>
    </row>
    <row r="452" spans="1:41" ht="15" x14ac:dyDescent="0.25">
      <c r="A452" s="13" t="s">
        <v>47</v>
      </c>
      <c r="B452" s="10">
        <v>0</v>
      </c>
      <c r="C452" s="10">
        <v>0</v>
      </c>
      <c r="D452" s="10">
        <v>0</v>
      </c>
      <c r="E452" s="10">
        <v>0</v>
      </c>
      <c r="F452" s="10">
        <v>4217</v>
      </c>
      <c r="G452" s="10">
        <v>0</v>
      </c>
      <c r="H452" s="2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24">
        <v>0</v>
      </c>
      <c r="AI452" s="24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115</v>
      </c>
      <c r="AO452" s="15">
        <v>0</v>
      </c>
    </row>
    <row r="453" spans="1:41" ht="15" x14ac:dyDescent="0.25">
      <c r="A453" s="14" t="s">
        <v>24</v>
      </c>
      <c r="B453" s="10">
        <f t="shared" ref="B453:K453" si="90">SUM(B448+B449-B450-B451-B452)</f>
        <v>0</v>
      </c>
      <c r="C453" s="10">
        <f t="shared" si="90"/>
        <v>226</v>
      </c>
      <c r="D453" s="10">
        <f t="shared" si="90"/>
        <v>2140</v>
      </c>
      <c r="E453" s="10">
        <f t="shared" si="90"/>
        <v>0</v>
      </c>
      <c r="F453" s="10">
        <f t="shared" si="90"/>
        <v>5854</v>
      </c>
      <c r="G453" s="10">
        <f t="shared" si="90"/>
        <v>5071</v>
      </c>
      <c r="H453" s="2">
        <f t="shared" si="90"/>
        <v>0</v>
      </c>
      <c r="I453" s="10">
        <f t="shared" si="90"/>
        <v>410</v>
      </c>
      <c r="J453" s="10">
        <f t="shared" si="90"/>
        <v>1030</v>
      </c>
      <c r="K453" s="10">
        <f t="shared" si="90"/>
        <v>107.49900000000001</v>
      </c>
      <c r="L453" s="10">
        <f>SUM(L448+L450+L451+L452)</f>
        <v>525825</v>
      </c>
      <c r="M453" s="10">
        <f>SUM(M448+M449+M450+M451+M452)</f>
        <v>171</v>
      </c>
      <c r="N453" s="10">
        <f>SUM(N448+N449-N450-N451-N452)</f>
        <v>0</v>
      </c>
      <c r="O453" s="10">
        <f>SUM(O448+O449-O450-O451-O452)</f>
        <v>87</v>
      </c>
      <c r="P453" s="10">
        <f>SUM(P448+P449+P450+P452)</f>
        <v>49288</v>
      </c>
      <c r="Q453" s="10">
        <f>SUM(Q448-Q449+Q450+Q451+Q452)</f>
        <v>4107</v>
      </c>
      <c r="R453" s="10">
        <f>SUM(R448-R449+R450+R451+R452)</f>
        <v>152</v>
      </c>
      <c r="S453" s="10">
        <f>SUM(S448-S449+S450+S451+S452)</f>
        <v>816</v>
      </c>
      <c r="T453" s="10">
        <f>SUM(T448+T449+T450+T451+T452)</f>
        <v>51</v>
      </c>
      <c r="U453" s="10">
        <f>SUM(U448+U449-U450-U451-U452)</f>
        <v>157055</v>
      </c>
      <c r="V453" s="10">
        <f>SUM(V448+V449-V450-V451-V452)</f>
        <v>32</v>
      </c>
      <c r="W453" s="10">
        <f>SUM(W448+W449-W450-W451-W452)</f>
        <v>0</v>
      </c>
      <c r="X453" s="10">
        <f>SUM(X448+X449-X450-X451-X452)</f>
        <v>75</v>
      </c>
      <c r="Y453" s="10">
        <f>SUM(Y448+Y449+Y450+Y451+Y452)</f>
        <v>49085</v>
      </c>
      <c r="Z453" s="10">
        <f>SUM(Z448+Z449+Z450+Z451+Z452)</f>
        <v>4090</v>
      </c>
      <c r="AA453" s="10">
        <f>SUM(AA448+AA449+AA450+AA451+AA452)</f>
        <v>27</v>
      </c>
      <c r="AB453" s="10">
        <f>SUM(AB448-AB449+AB450+AB451+AB452)</f>
        <v>907</v>
      </c>
      <c r="AC453" s="10">
        <f t="shared" ref="AC453:AL453" si="91">SUM(AC448+AC449-AC450-AC451-AC452)</f>
        <v>51</v>
      </c>
      <c r="AD453" s="10">
        <f t="shared" si="91"/>
        <v>368650</v>
      </c>
      <c r="AE453" s="10">
        <f t="shared" si="91"/>
        <v>129</v>
      </c>
      <c r="AF453" s="10">
        <f t="shared" si="91"/>
        <v>0</v>
      </c>
      <c r="AG453" s="10">
        <f t="shared" si="91"/>
        <v>0</v>
      </c>
      <c r="AH453" s="10">
        <f t="shared" si="91"/>
        <v>0</v>
      </c>
      <c r="AI453" s="10">
        <f t="shared" si="91"/>
        <v>0</v>
      </c>
      <c r="AJ453" s="10">
        <f t="shared" si="91"/>
        <v>0</v>
      </c>
      <c r="AK453" s="10">
        <f t="shared" si="91"/>
        <v>0</v>
      </c>
      <c r="AL453" s="10">
        <f t="shared" si="91"/>
        <v>0</v>
      </c>
      <c r="AM453" s="10">
        <f>SUM(AM448-AM449+AM450+AM451+AM452)</f>
        <v>624</v>
      </c>
      <c r="AN453" s="10">
        <f>SUM(AN448-AN449+AN450+AN451+AN452)</f>
        <v>729</v>
      </c>
      <c r="AO453" s="10">
        <f>SUM(AO448-AO449+AO450+AO451+AO452)</f>
        <v>64</v>
      </c>
    </row>
    <row r="456" spans="1:41" ht="18.75" x14ac:dyDescent="0.3">
      <c r="A456" s="16" t="s">
        <v>73</v>
      </c>
      <c r="B456" s="27" t="s">
        <v>26</v>
      </c>
      <c r="C456" s="27"/>
      <c r="D456" s="27"/>
      <c r="E456" s="27"/>
      <c r="F456" s="27"/>
      <c r="G456" s="27"/>
      <c r="H456" s="27"/>
      <c r="I456" s="27"/>
      <c r="J456" s="27"/>
      <c r="K456" s="27"/>
      <c r="L456" s="27" t="s">
        <v>29</v>
      </c>
      <c r="M456" s="27"/>
      <c r="N456" s="27"/>
      <c r="O456" s="27"/>
      <c r="P456" s="27"/>
      <c r="Q456" s="27"/>
      <c r="R456" s="27"/>
      <c r="S456" s="27"/>
      <c r="T456" s="27"/>
      <c r="U456" s="27" t="s">
        <v>28</v>
      </c>
      <c r="V456" s="27"/>
      <c r="W456" s="27"/>
      <c r="X456" s="27"/>
      <c r="Y456" s="27"/>
      <c r="Z456" s="27"/>
      <c r="AA456" s="27"/>
      <c r="AB456" s="27"/>
      <c r="AC456" s="27"/>
      <c r="AD456" s="27" t="s">
        <v>27</v>
      </c>
      <c r="AE456" s="27"/>
      <c r="AF456" s="27"/>
      <c r="AG456" s="27"/>
      <c r="AH456" s="27"/>
      <c r="AI456" s="27"/>
      <c r="AJ456" s="27"/>
      <c r="AK456" s="27"/>
      <c r="AL456" s="27"/>
      <c r="AM456" s="27" t="s">
        <v>25</v>
      </c>
      <c r="AN456" s="27"/>
      <c r="AO456" s="27"/>
    </row>
    <row r="457" spans="1:41" ht="15" x14ac:dyDescent="0.25">
      <c r="A457" s="5" t="s">
        <v>74</v>
      </c>
      <c r="B457" s="1" t="s">
        <v>0</v>
      </c>
      <c r="C457" s="1" t="s">
        <v>1</v>
      </c>
      <c r="D457" s="1" t="s">
        <v>2</v>
      </c>
      <c r="E457" s="1" t="s">
        <v>3</v>
      </c>
      <c r="F457" s="1" t="s">
        <v>4</v>
      </c>
      <c r="G457" s="1" t="s">
        <v>5</v>
      </c>
      <c r="H457" s="1" t="s">
        <v>33</v>
      </c>
      <c r="I457" s="1" t="s">
        <v>6</v>
      </c>
      <c r="J457" s="1" t="s">
        <v>7</v>
      </c>
      <c r="K457" s="1" t="s">
        <v>8</v>
      </c>
      <c r="L457" s="1" t="s">
        <v>9</v>
      </c>
      <c r="M457" s="1" t="s">
        <v>30</v>
      </c>
      <c r="N457" s="1" t="s">
        <v>10</v>
      </c>
      <c r="O457" s="1" t="s">
        <v>11</v>
      </c>
      <c r="P457" s="1" t="s">
        <v>32</v>
      </c>
      <c r="Q457" s="1" t="s">
        <v>37</v>
      </c>
      <c r="R457" s="1" t="s">
        <v>31</v>
      </c>
      <c r="S457" s="6" t="s">
        <v>12</v>
      </c>
      <c r="T457" s="6" t="s">
        <v>13</v>
      </c>
      <c r="U457" s="6" t="s">
        <v>14</v>
      </c>
      <c r="V457" s="1" t="s">
        <v>30</v>
      </c>
      <c r="W457" s="6" t="s">
        <v>10</v>
      </c>
      <c r="X457" s="6" t="s">
        <v>15</v>
      </c>
      <c r="Y457" s="1" t="s">
        <v>32</v>
      </c>
      <c r="Z457" s="1" t="s">
        <v>37</v>
      </c>
      <c r="AA457" s="1" t="s">
        <v>31</v>
      </c>
      <c r="AB457" s="1" t="s">
        <v>12</v>
      </c>
      <c r="AC457" s="1" t="s">
        <v>13</v>
      </c>
      <c r="AD457" s="1" t="s">
        <v>9</v>
      </c>
      <c r="AE457" s="1" t="s">
        <v>30</v>
      </c>
      <c r="AF457" s="1" t="s">
        <v>10</v>
      </c>
      <c r="AG457" s="1" t="s">
        <v>11</v>
      </c>
      <c r="AH457" s="18" t="s">
        <v>32</v>
      </c>
      <c r="AI457" s="18" t="s">
        <v>37</v>
      </c>
      <c r="AJ457" s="1" t="s">
        <v>44</v>
      </c>
      <c r="AK457" s="7" t="s">
        <v>16</v>
      </c>
      <c r="AL457" s="8" t="s">
        <v>13</v>
      </c>
      <c r="AM457" s="1" t="s">
        <v>17</v>
      </c>
      <c r="AN457" s="8" t="s">
        <v>57</v>
      </c>
      <c r="AO457" s="8" t="s">
        <v>19</v>
      </c>
    </row>
    <row r="458" spans="1:41" ht="15" x14ac:dyDescent="0.25">
      <c r="A458" s="9" t="s">
        <v>20</v>
      </c>
      <c r="B458" s="10">
        <v>0</v>
      </c>
      <c r="C458" s="10">
        <v>226</v>
      </c>
      <c r="D458" s="10">
        <v>2140</v>
      </c>
      <c r="E458" s="10">
        <v>0</v>
      </c>
      <c r="F458" s="10">
        <v>5854</v>
      </c>
      <c r="G458" s="10">
        <v>5071</v>
      </c>
      <c r="H458" s="3">
        <v>0</v>
      </c>
      <c r="I458" s="25">
        <v>410</v>
      </c>
      <c r="J458" s="10">
        <v>1030</v>
      </c>
      <c r="K458" s="10">
        <v>107.499</v>
      </c>
      <c r="L458" s="10">
        <v>525825</v>
      </c>
      <c r="M458" s="10">
        <v>171</v>
      </c>
      <c r="N458" s="10">
        <v>0</v>
      </c>
      <c r="O458" s="10">
        <v>87</v>
      </c>
      <c r="P458" s="10">
        <v>49288</v>
      </c>
      <c r="Q458" s="10">
        <v>4107</v>
      </c>
      <c r="R458" s="10">
        <v>152</v>
      </c>
      <c r="S458" s="10">
        <v>816</v>
      </c>
      <c r="T458" s="10">
        <v>51</v>
      </c>
      <c r="U458" s="10">
        <v>157055</v>
      </c>
      <c r="V458" s="10">
        <v>32</v>
      </c>
      <c r="W458" s="10">
        <v>0</v>
      </c>
      <c r="X458" s="10">
        <v>75</v>
      </c>
      <c r="Y458" s="10">
        <v>49085</v>
      </c>
      <c r="Z458" s="10">
        <v>4090</v>
      </c>
      <c r="AA458" s="10">
        <v>27</v>
      </c>
      <c r="AB458" s="10">
        <v>907</v>
      </c>
      <c r="AC458" s="10">
        <v>51</v>
      </c>
      <c r="AD458" s="10">
        <v>368650</v>
      </c>
      <c r="AE458" s="10">
        <v>129</v>
      </c>
      <c r="AF458" s="10">
        <v>0</v>
      </c>
      <c r="AG458" s="19">
        <v>0</v>
      </c>
      <c r="AH458" s="20">
        <v>0</v>
      </c>
      <c r="AI458" s="20">
        <v>0</v>
      </c>
      <c r="AJ458" s="21">
        <v>0</v>
      </c>
      <c r="AK458" s="10">
        <v>0</v>
      </c>
      <c r="AL458" s="10">
        <v>0</v>
      </c>
      <c r="AM458" s="10">
        <v>624</v>
      </c>
      <c r="AN458" s="10">
        <v>729</v>
      </c>
      <c r="AO458" s="26">
        <v>64</v>
      </c>
    </row>
    <row r="459" spans="1:41" ht="15" x14ac:dyDescent="0.25">
      <c r="A459" s="9" t="s">
        <v>21</v>
      </c>
      <c r="B459" s="10">
        <v>26280</v>
      </c>
      <c r="C459" s="10">
        <f>SUM(5569+12092+8516-616-51-1680-170-1260-100-300)</f>
        <v>22000</v>
      </c>
      <c r="D459" s="10">
        <v>0</v>
      </c>
      <c r="E459" s="10">
        <v>0</v>
      </c>
      <c r="F459" s="10">
        <v>12240</v>
      </c>
      <c r="G459" s="10">
        <f>SUM(1250+695+959-32-10-10)</f>
        <v>2852</v>
      </c>
      <c r="H459" s="2">
        <v>0</v>
      </c>
      <c r="I459" s="10">
        <v>0</v>
      </c>
      <c r="J459" s="10">
        <v>4000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f>SUM(3025+15275+9000)</f>
        <v>27300</v>
      </c>
      <c r="AE459" s="10">
        <v>0</v>
      </c>
      <c r="AF459" s="10">
        <v>0</v>
      </c>
      <c r="AG459" s="19">
        <v>0</v>
      </c>
      <c r="AH459" s="20">
        <v>0</v>
      </c>
      <c r="AI459" s="20">
        <v>0</v>
      </c>
      <c r="AJ459" s="21">
        <v>0</v>
      </c>
      <c r="AK459" s="10">
        <v>0</v>
      </c>
      <c r="AL459" s="10">
        <v>0</v>
      </c>
      <c r="AM459" s="10">
        <v>0</v>
      </c>
      <c r="AN459" s="19">
        <v>0</v>
      </c>
      <c r="AO459" s="20">
        <v>0</v>
      </c>
    </row>
    <row r="460" spans="1:41" ht="15" x14ac:dyDescent="0.25">
      <c r="A460" s="11" t="s">
        <v>22</v>
      </c>
      <c r="B460" s="12">
        <v>5569</v>
      </c>
      <c r="C460" s="17">
        <v>1644</v>
      </c>
      <c r="D460" s="12">
        <v>0</v>
      </c>
      <c r="E460" s="12">
        <v>0</v>
      </c>
      <c r="F460" s="12">
        <v>1250</v>
      </c>
      <c r="G460" s="12">
        <v>756</v>
      </c>
      <c r="H460" s="4">
        <v>0</v>
      </c>
      <c r="I460" s="12">
        <v>0</v>
      </c>
      <c r="J460" s="12">
        <v>300</v>
      </c>
      <c r="K460" s="12">
        <v>1.5</v>
      </c>
      <c r="L460" s="12">
        <v>3025</v>
      </c>
      <c r="M460" s="12">
        <v>0</v>
      </c>
      <c r="N460" s="12">
        <v>0</v>
      </c>
      <c r="O460" s="12">
        <v>0</v>
      </c>
      <c r="P460" s="10">
        <v>0</v>
      </c>
      <c r="Q460" s="10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22">
        <v>0</v>
      </c>
      <c r="AH460" s="20">
        <v>0</v>
      </c>
      <c r="AI460" s="20">
        <v>0</v>
      </c>
      <c r="AJ460" s="23">
        <v>0</v>
      </c>
      <c r="AK460" s="12">
        <v>0</v>
      </c>
      <c r="AL460" s="12">
        <v>0</v>
      </c>
      <c r="AM460" s="12">
        <v>616</v>
      </c>
      <c r="AN460" s="12">
        <v>83</v>
      </c>
      <c r="AO460" s="17">
        <v>17</v>
      </c>
    </row>
    <row r="461" spans="1:41" ht="15" x14ac:dyDescent="0.25">
      <c r="A461" s="13" t="s">
        <v>46</v>
      </c>
      <c r="B461" s="10">
        <v>12092</v>
      </c>
      <c r="C461" s="10">
        <v>8220</v>
      </c>
      <c r="D461" s="10">
        <v>0</v>
      </c>
      <c r="E461" s="10">
        <v>0</v>
      </c>
      <c r="F461" s="10">
        <v>695</v>
      </c>
      <c r="G461" s="10">
        <v>3780</v>
      </c>
      <c r="H461" s="2">
        <v>0</v>
      </c>
      <c r="I461" s="10">
        <v>0</v>
      </c>
      <c r="J461" s="10">
        <v>1500</v>
      </c>
      <c r="K461" s="10">
        <v>7.5</v>
      </c>
      <c r="L461" s="10">
        <v>15275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0</v>
      </c>
      <c r="AH461" s="24">
        <v>0</v>
      </c>
      <c r="AI461" s="24">
        <v>0</v>
      </c>
      <c r="AJ461" s="10">
        <v>0</v>
      </c>
      <c r="AK461" s="10">
        <v>0</v>
      </c>
      <c r="AL461" s="10">
        <v>0</v>
      </c>
      <c r="AM461" s="10">
        <v>1680</v>
      </c>
      <c r="AN461" s="10">
        <v>172</v>
      </c>
      <c r="AO461" s="15">
        <v>18</v>
      </c>
    </row>
    <row r="462" spans="1:41" ht="15" x14ac:dyDescent="0.25">
      <c r="A462" s="13" t="s">
        <v>47</v>
      </c>
      <c r="B462" s="10">
        <v>8516</v>
      </c>
      <c r="C462" s="10">
        <v>5832</v>
      </c>
      <c r="D462" s="10">
        <v>0</v>
      </c>
      <c r="E462" s="10">
        <v>0</v>
      </c>
      <c r="F462" s="10">
        <v>959</v>
      </c>
      <c r="G462" s="10">
        <v>2268</v>
      </c>
      <c r="H462" s="2">
        <v>0</v>
      </c>
      <c r="I462" s="10">
        <v>0</v>
      </c>
      <c r="J462" s="10">
        <v>900</v>
      </c>
      <c r="K462" s="10">
        <v>4.5</v>
      </c>
      <c r="L462" s="10">
        <v>9000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24">
        <v>0</v>
      </c>
      <c r="AI462" s="24">
        <v>0</v>
      </c>
      <c r="AJ462" s="10">
        <v>0</v>
      </c>
      <c r="AK462" s="10">
        <v>0</v>
      </c>
      <c r="AL462" s="10">
        <v>0</v>
      </c>
      <c r="AM462" s="10">
        <v>1260</v>
      </c>
      <c r="AN462" s="10">
        <v>110</v>
      </c>
      <c r="AO462" s="15">
        <v>30</v>
      </c>
    </row>
    <row r="463" spans="1:41" ht="15" x14ac:dyDescent="0.25">
      <c r="A463" s="14" t="s">
        <v>24</v>
      </c>
      <c r="B463" s="10">
        <f t="shared" ref="B463:K463" si="92">SUM(B458+B459-B460-B461-B462)</f>
        <v>103</v>
      </c>
      <c r="C463" s="10">
        <f t="shared" si="92"/>
        <v>6530</v>
      </c>
      <c r="D463" s="10">
        <f t="shared" si="92"/>
        <v>2140</v>
      </c>
      <c r="E463" s="10">
        <f t="shared" si="92"/>
        <v>0</v>
      </c>
      <c r="F463" s="10">
        <f t="shared" si="92"/>
        <v>15190</v>
      </c>
      <c r="G463" s="10">
        <f t="shared" si="92"/>
        <v>1119</v>
      </c>
      <c r="H463" s="2">
        <f t="shared" si="92"/>
        <v>0</v>
      </c>
      <c r="I463" s="10">
        <f t="shared" si="92"/>
        <v>410</v>
      </c>
      <c r="J463" s="10">
        <f t="shared" si="92"/>
        <v>2330</v>
      </c>
      <c r="K463" s="10">
        <f t="shared" si="92"/>
        <v>93.998999999999995</v>
      </c>
      <c r="L463" s="10">
        <f>SUM(L458+L460+L461+L462)</f>
        <v>553125</v>
      </c>
      <c r="M463" s="10">
        <f>SUM(M458+M459+M460+M461+M462)</f>
        <v>171</v>
      </c>
      <c r="N463" s="10">
        <f>SUM(N458+N459-N460-N461-N462)</f>
        <v>0</v>
      </c>
      <c r="O463" s="10">
        <f>SUM(O458+O459-O460-O461-O462)</f>
        <v>87</v>
      </c>
      <c r="P463" s="10">
        <f>SUM(P458+P459+P460+P462)</f>
        <v>49288</v>
      </c>
      <c r="Q463" s="10">
        <f>SUM(Q458-Q459+Q460+Q461+Q462)</f>
        <v>4107</v>
      </c>
      <c r="R463" s="10">
        <f>SUM(R458-R459+R460+R461+R462)</f>
        <v>152</v>
      </c>
      <c r="S463" s="10">
        <f>SUM(S458-S459+S460+S461+S462)</f>
        <v>816</v>
      </c>
      <c r="T463" s="10">
        <f>SUM(T458+T459+T460+T461+T462)</f>
        <v>51</v>
      </c>
      <c r="U463" s="10">
        <f>SUM(U458+U459-U460-U461-U462)</f>
        <v>157055</v>
      </c>
      <c r="V463" s="10">
        <f>SUM(V458+V459-V460-V461-V462)</f>
        <v>32</v>
      </c>
      <c r="W463" s="10">
        <f>SUM(W458+W459-W460-W461-W462)</f>
        <v>0</v>
      </c>
      <c r="X463" s="10">
        <f>SUM(X458+X459-X460-X461-X462)</f>
        <v>75</v>
      </c>
      <c r="Y463" s="10">
        <f>SUM(Y458+Y459+Y460+Y461+Y462)</f>
        <v>49085</v>
      </c>
      <c r="Z463" s="10">
        <f>SUM(Z458+Z459+Z460+Z461+Z462)</f>
        <v>4090</v>
      </c>
      <c r="AA463" s="10">
        <f>SUM(AA458+AA459+AA460+AA461+AA462)</f>
        <v>27</v>
      </c>
      <c r="AB463" s="10">
        <f>SUM(AB458-AB459+AB460+AB461+AB462)</f>
        <v>907</v>
      </c>
      <c r="AC463" s="10">
        <f t="shared" ref="AC463:AL463" si="93">SUM(AC458+AC459-AC460-AC461-AC462)</f>
        <v>51</v>
      </c>
      <c r="AD463" s="10">
        <f t="shared" si="93"/>
        <v>395950</v>
      </c>
      <c r="AE463" s="10">
        <f t="shared" si="93"/>
        <v>129</v>
      </c>
      <c r="AF463" s="10">
        <f t="shared" si="93"/>
        <v>0</v>
      </c>
      <c r="AG463" s="10">
        <f t="shared" si="93"/>
        <v>0</v>
      </c>
      <c r="AH463" s="10">
        <f t="shared" si="93"/>
        <v>0</v>
      </c>
      <c r="AI463" s="10">
        <f t="shared" si="93"/>
        <v>0</v>
      </c>
      <c r="AJ463" s="10">
        <f t="shared" si="93"/>
        <v>0</v>
      </c>
      <c r="AK463" s="10">
        <f t="shared" si="93"/>
        <v>0</v>
      </c>
      <c r="AL463" s="10">
        <f t="shared" si="93"/>
        <v>0</v>
      </c>
      <c r="AM463" s="10">
        <f>SUM(AM458-AM459+AM460+AM461+AM462)</f>
        <v>4180</v>
      </c>
      <c r="AN463" s="10">
        <f>SUM(AN458-AN459+AN460+AN461+AN462)</f>
        <v>1094</v>
      </c>
      <c r="AO463" s="10">
        <f>SUM(AO458-AO459+AO460+AO461+AO462)</f>
        <v>129</v>
      </c>
    </row>
  </sheetData>
  <mergeCells count="240">
    <mergeCell ref="B426:K426"/>
    <mergeCell ref="AD336:AL336"/>
    <mergeCell ref="AM187:AO187"/>
    <mergeCell ref="L83:T83"/>
    <mergeCell ref="AD64:AL64"/>
    <mergeCell ref="U83:AC83"/>
    <mergeCell ref="L103:T103"/>
    <mergeCell ref="AM306:AO306"/>
    <mergeCell ref="B206:K206"/>
    <mergeCell ref="B196:K196"/>
    <mergeCell ref="AD396:AL396"/>
    <mergeCell ref="B103:K103"/>
    <mergeCell ref="AM426:AO426"/>
    <mergeCell ref="U256:AC256"/>
    <mergeCell ref="L396:T396"/>
    <mergeCell ref="U266:AC266"/>
    <mergeCell ref="AD346:AL346"/>
    <mergeCell ref="U326:AC326"/>
    <mergeCell ref="AM396:AO396"/>
    <mergeCell ref="AM206:AO206"/>
    <mergeCell ref="U436:AC436"/>
    <mergeCell ref="AM316:AO316"/>
    <mergeCell ref="U276:AC276"/>
    <mergeCell ref="L46:T46"/>
    <mergeCell ref="AM113:AO113"/>
    <mergeCell ref="AD246:AL246"/>
    <mergeCell ref="AM73:AO73"/>
    <mergeCell ref="L256:T256"/>
    <mergeCell ref="AD93:AL93"/>
    <mergeCell ref="AM151:AO151"/>
    <mergeCell ref="U396:AC396"/>
    <mergeCell ref="L55:T55"/>
    <mergeCell ref="L436:T436"/>
    <mergeCell ref="L406:T406"/>
    <mergeCell ref="U226:AC226"/>
    <mergeCell ref="AD376:AL376"/>
    <mergeCell ref="L196:T196"/>
    <mergeCell ref="L356:T356"/>
    <mergeCell ref="AM286:AO286"/>
    <mergeCell ref="AD426:AL426"/>
    <mergeCell ref="L426:T426"/>
    <mergeCell ref="U446:AC446"/>
    <mergeCell ref="AM10:AO10"/>
    <mergeCell ref="B113:K113"/>
    <mergeCell ref="U246:AC246"/>
    <mergeCell ref="AM376:AO376"/>
    <mergeCell ref="L28:T28"/>
    <mergeCell ref="AM416:AO416"/>
    <mergeCell ref="L266:T266"/>
    <mergeCell ref="AM64:AO64"/>
    <mergeCell ref="B169:K169"/>
    <mergeCell ref="L37:T37"/>
    <mergeCell ref="B64:K64"/>
    <mergeCell ref="U216:AC216"/>
    <mergeCell ref="AM169:AO169"/>
    <mergeCell ref="L286:T286"/>
    <mergeCell ref="L19:T19"/>
    <mergeCell ref="AD326:AL326"/>
    <mergeCell ref="AM196:AO196"/>
    <mergeCell ref="U187:AC187"/>
    <mergeCell ref="U55:AC55"/>
    <mergeCell ref="U206:AC206"/>
    <mergeCell ref="AD160:AL160"/>
    <mergeCell ref="U366:AC366"/>
    <mergeCell ref="B416:K416"/>
    <mergeCell ref="AM1:AO1"/>
    <mergeCell ref="L93:T93"/>
    <mergeCell ref="AD436:AL436"/>
    <mergeCell ref="AM336:AO336"/>
    <mergeCell ref="B1:K1"/>
    <mergeCell ref="B386:K386"/>
    <mergeCell ref="U160:AC160"/>
    <mergeCell ref="B46:K46"/>
    <mergeCell ref="B19:K19"/>
    <mergeCell ref="B83:K83"/>
    <mergeCell ref="U19:AC19"/>
    <mergeCell ref="AD316:AL316"/>
    <mergeCell ref="AM123:AO123"/>
    <mergeCell ref="AD10:AL10"/>
    <mergeCell ref="AD1:AL1"/>
    <mergeCell ref="L246:T246"/>
    <mergeCell ref="AM366:AO366"/>
    <mergeCell ref="AD206:AL206"/>
    <mergeCell ref="L326:T326"/>
    <mergeCell ref="L226:T226"/>
    <mergeCell ref="B142:K142"/>
    <mergeCell ref="B160:K160"/>
    <mergeCell ref="AD46:AL46"/>
    <mergeCell ref="AM37:AO37"/>
    <mergeCell ref="AD19:AL19"/>
    <mergeCell ref="AM83:AO83"/>
    <mergeCell ref="AM133:AO133"/>
    <mergeCell ref="AD142:AL142"/>
    <mergeCell ref="L10:T10"/>
    <mergeCell ref="B10:K10"/>
    <mergeCell ref="B73:K73"/>
    <mergeCell ref="AD151:AL151"/>
    <mergeCell ref="AD55:AL55"/>
    <mergeCell ref="AM93:AO93"/>
    <mergeCell ref="L142:T142"/>
    <mergeCell ref="AM19:AO19"/>
    <mergeCell ref="U28:AC28"/>
    <mergeCell ref="AM103:AO103"/>
    <mergeCell ref="B37:K37"/>
    <mergeCell ref="B396:K396"/>
    <mergeCell ref="U196:AC196"/>
    <mergeCell ref="L133:T133"/>
    <mergeCell ref="B436:K436"/>
    <mergeCell ref="B406:K406"/>
    <mergeCell ref="U426:AC426"/>
    <mergeCell ref="U123:AC123"/>
    <mergeCell ref="AD386:AL386"/>
    <mergeCell ref="AM216:AO216"/>
    <mergeCell ref="AM386:AO386"/>
    <mergeCell ref="U296:AC296"/>
    <mergeCell ref="AD236:AL236"/>
    <mergeCell ref="AM326:AO326"/>
    <mergeCell ref="AD196:AL196"/>
    <mergeCell ref="L346:T346"/>
    <mergeCell ref="L306:T306"/>
    <mergeCell ref="L316:T316"/>
    <mergeCell ref="B376:K376"/>
    <mergeCell ref="AD276:AL276"/>
    <mergeCell ref="L206:T206"/>
    <mergeCell ref="B366:K366"/>
    <mergeCell ref="B296:K296"/>
    <mergeCell ref="L336:T336"/>
    <mergeCell ref="U151:AC151"/>
    <mergeCell ref="AM356:AO356"/>
    <mergeCell ref="U406:AC406"/>
    <mergeCell ref="AM276:AO276"/>
    <mergeCell ref="AD356:AL356"/>
    <mergeCell ref="U236:AC236"/>
    <mergeCell ref="AM346:AO346"/>
    <mergeCell ref="U386:AC386"/>
    <mergeCell ref="AM246:AO246"/>
    <mergeCell ref="U316:AC316"/>
    <mergeCell ref="AM296:AO296"/>
    <mergeCell ref="AD366:AL366"/>
    <mergeCell ref="AD296:AL296"/>
    <mergeCell ref="U113:AC113"/>
    <mergeCell ref="AM28:AO28"/>
    <mergeCell ref="U178:AC178"/>
    <mergeCell ref="AD256:AL256"/>
    <mergeCell ref="AM160:AO160"/>
    <mergeCell ref="U37:AC37"/>
    <mergeCell ref="AD73:AL73"/>
    <mergeCell ref="B28:K28"/>
    <mergeCell ref="AD37:AL37"/>
    <mergeCell ref="L113:T113"/>
    <mergeCell ref="B55:K55"/>
    <mergeCell ref="L64:T64"/>
    <mergeCell ref="U73:AC73"/>
    <mergeCell ref="U64:AC64"/>
    <mergeCell ref="AM55:AO55"/>
    <mergeCell ref="L187:T187"/>
    <mergeCell ref="B256:K256"/>
    <mergeCell ref="U346:AC346"/>
    <mergeCell ref="L160:T160"/>
    <mergeCell ref="B151:K151"/>
    <mergeCell ref="B123:K123"/>
    <mergeCell ref="B326:K326"/>
    <mergeCell ref="B226:K226"/>
    <mergeCell ref="B236:K236"/>
    <mergeCell ref="B133:K133"/>
    <mergeCell ref="B316:K316"/>
    <mergeCell ref="B276:K276"/>
    <mergeCell ref="B346:K346"/>
    <mergeCell ref="L1:T1"/>
    <mergeCell ref="U1:AC1"/>
    <mergeCell ref="AD286:AL286"/>
    <mergeCell ref="AM46:AO46"/>
    <mergeCell ref="AD216:AL216"/>
    <mergeCell ref="L376:T376"/>
    <mergeCell ref="B286:K286"/>
    <mergeCell ref="B266:K266"/>
    <mergeCell ref="U356:AC356"/>
    <mergeCell ref="U376:AC376"/>
    <mergeCell ref="AD266:AL266"/>
    <mergeCell ref="AD123:AL123"/>
    <mergeCell ref="L236:T236"/>
    <mergeCell ref="AD83:AL83"/>
    <mergeCell ref="AM178:AO178"/>
    <mergeCell ref="B93:K93"/>
    <mergeCell ref="B178:K178"/>
    <mergeCell ref="AM236:AO236"/>
    <mergeCell ref="B336:K336"/>
    <mergeCell ref="U169:AC169"/>
    <mergeCell ref="AM226:AO226"/>
    <mergeCell ref="AM266:AO266"/>
    <mergeCell ref="U306:AC306"/>
    <mergeCell ref="B187:K187"/>
    <mergeCell ref="AD28:AL28"/>
    <mergeCell ref="U10:AC10"/>
    <mergeCell ref="U46:AC46"/>
    <mergeCell ref="AD113:AL113"/>
    <mergeCell ref="U416:AC416"/>
    <mergeCell ref="AD406:AL406"/>
    <mergeCell ref="AM446:AO446"/>
    <mergeCell ref="L73:T73"/>
    <mergeCell ref="AD226:AL226"/>
    <mergeCell ref="U286:AC286"/>
    <mergeCell ref="AM142:AO142"/>
    <mergeCell ref="AD103:AL103"/>
    <mergeCell ref="L366:T366"/>
    <mergeCell ref="AD446:AL446"/>
    <mergeCell ref="L296:T296"/>
    <mergeCell ref="U133:AC133"/>
    <mergeCell ref="AD187:AL187"/>
    <mergeCell ref="AM256:AO256"/>
    <mergeCell ref="AD416:AL416"/>
    <mergeCell ref="L169:T169"/>
    <mergeCell ref="U93:AC93"/>
    <mergeCell ref="L151:T151"/>
    <mergeCell ref="AM436:AO436"/>
    <mergeCell ref="L216:T216"/>
    <mergeCell ref="AM456:AO456"/>
    <mergeCell ref="AD456:AL456"/>
    <mergeCell ref="B306:K306"/>
    <mergeCell ref="U103:AC103"/>
    <mergeCell ref="U456:AC456"/>
    <mergeCell ref="B456:K456"/>
    <mergeCell ref="B446:K446"/>
    <mergeCell ref="L416:T416"/>
    <mergeCell ref="L446:T446"/>
    <mergeCell ref="L456:T456"/>
    <mergeCell ref="L276:T276"/>
    <mergeCell ref="AM406:AO406"/>
    <mergeCell ref="B356:K356"/>
    <mergeCell ref="U142:AC142"/>
    <mergeCell ref="L123:T123"/>
    <mergeCell ref="B216:K216"/>
    <mergeCell ref="AD306:AL306"/>
    <mergeCell ref="L178:T178"/>
    <mergeCell ref="L386:T386"/>
    <mergeCell ref="U336:AC336"/>
    <mergeCell ref="AD178:AL178"/>
    <mergeCell ref="B246:K246"/>
    <mergeCell ref="AD169:AL169"/>
    <mergeCell ref="AD133:AL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RMX3930</dc:creator>
  <cp:lastModifiedBy>ptrmagaga@outlook.com</cp:lastModifiedBy>
  <dcterms:created xsi:type="dcterms:W3CDTF">2025-06-17T23:42:51Z</dcterms:created>
  <dcterms:modified xsi:type="dcterms:W3CDTF">2025-11-12T12:18:04Z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e2d6373c9c864ef0a56e20575eb506bc</vt:lpwstr>
  </property>
</Properties>
</file>